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xr:revisionPtr revIDLastSave="0" documentId="13_ncr:41000001_{3459CE40-3631-FC47-8E2D-23B9BA9C127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TI worksheet" sheetId="1" r:id="rId1"/>
    <sheet name="工作表1" sheetId="7" r:id="rId2"/>
    <sheet name="Asset Based Lending" sheetId="2" state="hidden" r:id="rId3"/>
    <sheet name="ABL" sheetId="3" r:id="rId4"/>
    <sheet name="Repayment Scheme (Mon)" sheetId="4" r:id="rId5"/>
    <sheet name="Repayment Scheme (Fort)" sheetId="5" r:id="rId6"/>
    <sheet name="Repayment Scheme (Reducing)" sheetId="6" r:id="rId7"/>
  </sheets>
  <definedNames>
    <definedName name="_xlnm._FilterDatabase" localSheetId="0" hidden="1">'DTI worksheet'!$C$1:$G$6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uhsWWlkWvEUUomJBnvEa3+6ObHfC/mkVUKx0un7Wj8M="/>
    </ext>
  </extLst>
</workbook>
</file>

<file path=xl/calcChain.xml><?xml version="1.0" encoding="utf-8"?>
<calcChain xmlns="http://schemas.openxmlformats.org/spreadsheetml/2006/main">
  <c r="C12" i="4" l="1"/>
  <c r="B19" i="4"/>
  <c r="C19" i="4"/>
  <c r="D19" i="4"/>
  <c r="B20" i="4"/>
  <c r="C20" i="4"/>
  <c r="D20" i="4"/>
  <c r="B21" i="4"/>
  <c r="C21" i="4"/>
  <c r="D21" i="4"/>
  <c r="B22" i="4"/>
  <c r="C22" i="4"/>
  <c r="D22" i="4"/>
  <c r="B23" i="4"/>
  <c r="C23" i="4"/>
  <c r="D23" i="4"/>
  <c r="B24" i="4"/>
  <c r="C24" i="4"/>
  <c r="D24" i="4"/>
  <c r="B25" i="4"/>
  <c r="C25" i="4"/>
  <c r="D25" i="4"/>
  <c r="B26" i="4"/>
  <c r="C26" i="4"/>
  <c r="D26" i="4"/>
  <c r="B27" i="4"/>
  <c r="C27" i="4"/>
  <c r="D27" i="4"/>
  <c r="B28" i="4"/>
  <c r="C28" i="4"/>
  <c r="D28" i="4"/>
  <c r="B29" i="4"/>
  <c r="C29" i="4"/>
  <c r="D29" i="4"/>
  <c r="B30" i="4"/>
  <c r="C30" i="4"/>
  <c r="G18" i="1"/>
  <c r="G19" i="1"/>
  <c r="C19" i="6"/>
  <c r="D19" i="6"/>
  <c r="C20" i="6"/>
  <c r="D20" i="6"/>
  <c r="C21" i="6"/>
  <c r="D21" i="6"/>
  <c r="C22" i="6"/>
  <c r="D22" i="6"/>
  <c r="C23" i="6"/>
  <c r="D23" i="6"/>
  <c r="C24" i="6"/>
  <c r="D24" i="6"/>
  <c r="C25" i="6"/>
  <c r="D25" i="6"/>
  <c r="C26" i="6"/>
  <c r="D26" i="6"/>
  <c r="C27" i="6"/>
  <c r="D27" i="6"/>
  <c r="C28" i="6"/>
  <c r="D28" i="6"/>
  <c r="C29" i="6"/>
  <c r="D29" i="6"/>
  <c r="C30" i="6"/>
  <c r="D30" i="6"/>
  <c r="C31" i="6"/>
  <c r="D31" i="6"/>
  <c r="C32" i="6"/>
  <c r="D32" i="6"/>
  <c r="C33" i="6"/>
  <c r="D33" i="6"/>
  <c r="C34" i="6"/>
  <c r="D34" i="6"/>
  <c r="C35" i="6"/>
  <c r="D35" i="6"/>
  <c r="C36" i="6"/>
  <c r="D36" i="6"/>
  <c r="C37" i="6"/>
  <c r="D37" i="6"/>
  <c r="C38" i="6"/>
  <c r="D38" i="6"/>
  <c r="C39" i="6"/>
  <c r="D39" i="6"/>
  <c r="C40" i="6"/>
  <c r="D40" i="6"/>
  <c r="C41" i="6"/>
  <c r="D41" i="6"/>
  <c r="C42" i="6"/>
  <c r="D42" i="6"/>
  <c r="C43" i="6"/>
  <c r="D43" i="6"/>
  <c r="C44" i="6"/>
  <c r="D44" i="6"/>
  <c r="C45" i="6"/>
  <c r="D45" i="6"/>
  <c r="C46" i="6"/>
  <c r="D46" i="6"/>
  <c r="C47" i="6"/>
  <c r="D47" i="6"/>
  <c r="C48" i="6"/>
  <c r="D48" i="6"/>
  <c r="C49" i="6"/>
  <c r="D49" i="6"/>
  <c r="C50" i="6"/>
  <c r="D50" i="6"/>
  <c r="C51" i="6"/>
  <c r="D51" i="6"/>
  <c r="C52" i="6"/>
  <c r="D52" i="6"/>
  <c r="C53" i="6"/>
  <c r="D53" i="6"/>
  <c r="C54" i="6"/>
  <c r="D54" i="6"/>
  <c r="C55" i="6"/>
  <c r="D55" i="6"/>
  <c r="C56" i="6"/>
  <c r="D56" i="6"/>
  <c r="C57" i="6"/>
  <c r="D57" i="6"/>
  <c r="C58" i="6"/>
  <c r="D58" i="6"/>
  <c r="C59" i="6"/>
  <c r="D59" i="6"/>
  <c r="C60" i="6"/>
  <c r="D60" i="6"/>
  <c r="C61" i="6"/>
  <c r="D61" i="6"/>
  <c r="C62" i="6"/>
  <c r="D62" i="6"/>
  <c r="C63" i="6"/>
  <c r="D63" i="6"/>
  <c r="C64" i="6"/>
  <c r="D64" i="6"/>
  <c r="C65" i="6"/>
  <c r="D65" i="6"/>
  <c r="C66" i="6"/>
  <c r="D66" i="6"/>
  <c r="C67" i="6"/>
  <c r="D67" i="6"/>
  <c r="C68" i="6"/>
  <c r="D68" i="6"/>
  <c r="C69" i="6"/>
  <c r="D69" i="6"/>
  <c r="C70" i="6"/>
  <c r="D70" i="6"/>
  <c r="C71" i="6"/>
  <c r="D71" i="6"/>
  <c r="C72" i="6"/>
  <c r="D72" i="6"/>
  <c r="C73" i="6"/>
  <c r="D73" i="6"/>
  <c r="C74" i="6"/>
  <c r="D74" i="6"/>
  <c r="C75" i="6"/>
  <c r="D75" i="6"/>
  <c r="C76" i="6"/>
  <c r="D76" i="6"/>
  <c r="C77" i="6"/>
  <c r="D77" i="6"/>
  <c r="C78" i="6"/>
  <c r="D78" i="6"/>
  <c r="C79" i="6"/>
  <c r="D79" i="6"/>
  <c r="C80" i="6"/>
  <c r="D80" i="6"/>
  <c r="C81" i="6"/>
  <c r="D81" i="6"/>
  <c r="C82" i="6"/>
  <c r="D82" i="6"/>
  <c r="C83" i="6"/>
  <c r="D83" i="6"/>
  <c r="C84" i="6"/>
  <c r="D84" i="6"/>
  <c r="C85" i="6"/>
  <c r="D85" i="6"/>
  <c r="C86" i="6"/>
  <c r="D86" i="6"/>
  <c r="C87" i="6"/>
  <c r="D87" i="6"/>
  <c r="C88" i="6"/>
  <c r="D88" i="6"/>
  <c r="C89" i="6"/>
  <c r="D89" i="6"/>
  <c r="C90" i="6"/>
  <c r="D90" i="6"/>
  <c r="C91" i="6"/>
  <c r="D91" i="6"/>
  <c r="C92" i="6"/>
  <c r="D92" i="6"/>
  <c r="C93" i="6"/>
  <c r="D93" i="6"/>
  <c r="C94" i="6"/>
  <c r="D94" i="6"/>
  <c r="C95" i="6"/>
  <c r="D95" i="6"/>
  <c r="C96" i="6"/>
  <c r="D96" i="6"/>
  <c r="C97" i="6"/>
  <c r="D97" i="6"/>
  <c r="C98" i="6"/>
  <c r="D98" i="6"/>
  <c r="C99" i="6"/>
  <c r="D99" i="6"/>
  <c r="C100" i="6"/>
  <c r="D100" i="6"/>
  <c r="C101" i="6"/>
  <c r="D101" i="6"/>
  <c r="C102" i="6"/>
  <c r="D102" i="6"/>
  <c r="C103" i="6"/>
  <c r="D103" i="6"/>
  <c r="C104" i="6"/>
  <c r="D104" i="6"/>
  <c r="C105" i="6"/>
  <c r="D105" i="6"/>
  <c r="C106" i="6"/>
  <c r="D106" i="6"/>
  <c r="C107" i="6"/>
  <c r="D107" i="6"/>
  <c r="C108" i="6"/>
  <c r="D108" i="6"/>
  <c r="C109" i="6"/>
  <c r="D109" i="6"/>
  <c r="C110" i="6"/>
  <c r="D110" i="6"/>
  <c r="C111" i="6"/>
  <c r="D111" i="6"/>
  <c r="C112" i="6"/>
  <c r="D112" i="6"/>
  <c r="C113" i="6"/>
  <c r="D113" i="6"/>
  <c r="C114" i="6"/>
  <c r="D114" i="6"/>
  <c r="C115" i="6"/>
  <c r="D115" i="6"/>
  <c r="C116" i="6"/>
  <c r="D116" i="6"/>
  <c r="C117" i="6"/>
  <c r="D117" i="6"/>
  <c r="C118" i="6"/>
  <c r="D118" i="6"/>
  <c r="C119" i="6"/>
  <c r="D119" i="6"/>
  <c r="C120" i="6"/>
  <c r="D120" i="6"/>
  <c r="C121" i="6"/>
  <c r="D121" i="6"/>
  <c r="C122" i="6"/>
  <c r="D122" i="6"/>
  <c r="C123" i="6"/>
  <c r="D123" i="6"/>
  <c r="C124" i="6"/>
  <c r="D124" i="6"/>
  <c r="C125" i="6"/>
  <c r="D125" i="6"/>
  <c r="C126" i="6"/>
  <c r="D126" i="6"/>
  <c r="C127" i="6"/>
  <c r="D127" i="6"/>
  <c r="C128" i="6"/>
  <c r="D128" i="6"/>
  <c r="C129" i="6"/>
  <c r="D129" i="6"/>
  <c r="C130" i="6"/>
  <c r="D130" i="6"/>
  <c r="C131" i="6"/>
  <c r="D131" i="6"/>
  <c r="C132" i="6"/>
  <c r="D132" i="6"/>
  <c r="C133" i="6"/>
  <c r="D133" i="6"/>
  <c r="C134" i="6"/>
  <c r="D134" i="6"/>
  <c r="C135" i="6"/>
  <c r="D135" i="6"/>
  <c r="C136" i="6"/>
  <c r="D136" i="6"/>
  <c r="C137" i="6"/>
  <c r="D137" i="6"/>
  <c r="C138" i="6"/>
  <c r="D138" i="6"/>
  <c r="C139" i="6"/>
  <c r="D139" i="6"/>
  <c r="C140" i="6"/>
  <c r="D140" i="6"/>
  <c r="C141" i="6"/>
  <c r="D141" i="6"/>
  <c r="C142" i="6"/>
  <c r="D142" i="6"/>
  <c r="C143" i="6"/>
  <c r="D143" i="6"/>
  <c r="C144" i="6"/>
  <c r="D144" i="6"/>
  <c r="C145" i="6"/>
  <c r="D145" i="6"/>
  <c r="C146" i="6"/>
  <c r="D146" i="6"/>
  <c r="C147" i="6"/>
  <c r="D147" i="6"/>
  <c r="C148" i="6"/>
  <c r="D148" i="6"/>
  <c r="C149" i="6"/>
  <c r="D149" i="6"/>
  <c r="C150" i="6"/>
  <c r="D150" i="6"/>
  <c r="C151" i="6"/>
  <c r="D151" i="6"/>
  <c r="C152" i="6"/>
  <c r="D152" i="6"/>
  <c r="C153" i="6"/>
  <c r="D153" i="6"/>
  <c r="C154" i="6"/>
  <c r="D154" i="6"/>
  <c r="C155" i="6"/>
  <c r="D155" i="6"/>
  <c r="C156" i="6"/>
  <c r="D156" i="6"/>
  <c r="C157" i="6"/>
  <c r="D157" i="6"/>
  <c r="C158" i="6"/>
  <c r="D158" i="6"/>
  <c r="C159" i="6"/>
  <c r="D159" i="6"/>
  <c r="C160" i="6"/>
  <c r="D160" i="6"/>
  <c r="C161" i="6"/>
  <c r="D161" i="6"/>
  <c r="C162" i="6"/>
  <c r="D162" i="6"/>
  <c r="C163" i="6"/>
  <c r="D163" i="6"/>
  <c r="C164" i="6"/>
  <c r="D164" i="6"/>
  <c r="C165" i="6"/>
  <c r="D165" i="6"/>
  <c r="C166" i="6"/>
  <c r="D166" i="6"/>
  <c r="C167" i="6"/>
  <c r="D167" i="6"/>
  <c r="C168" i="6"/>
  <c r="D168" i="6"/>
  <c r="C169" i="6"/>
  <c r="D169" i="6"/>
  <c r="C170" i="6"/>
  <c r="D170" i="6"/>
  <c r="C171" i="6"/>
  <c r="D171" i="6"/>
  <c r="C172" i="6"/>
  <c r="D172" i="6"/>
  <c r="C173" i="6"/>
  <c r="D173" i="6"/>
  <c r="C174" i="6"/>
  <c r="D174" i="6"/>
  <c r="C175" i="6"/>
  <c r="D175" i="6"/>
  <c r="C176" i="6"/>
  <c r="D176" i="6"/>
  <c r="C177" i="6"/>
  <c r="D177" i="6"/>
  <c r="C178" i="6"/>
  <c r="D178" i="6"/>
  <c r="C179" i="6"/>
  <c r="D179" i="6"/>
  <c r="C180" i="6"/>
  <c r="D180" i="6"/>
  <c r="C181" i="6"/>
  <c r="D181" i="6"/>
  <c r="C182" i="6"/>
  <c r="D182" i="6"/>
  <c r="C183" i="6"/>
  <c r="D183" i="6"/>
  <c r="C184" i="6"/>
  <c r="D184" i="6"/>
  <c r="C185" i="6"/>
  <c r="D185" i="6"/>
  <c r="C186" i="6"/>
  <c r="D186" i="6"/>
  <c r="C187" i="6"/>
  <c r="D187" i="6"/>
  <c r="C188" i="6"/>
  <c r="D188" i="6"/>
  <c r="C189" i="6"/>
  <c r="D189" i="6"/>
  <c r="C190" i="6"/>
  <c r="D190" i="6"/>
  <c r="C191" i="6"/>
  <c r="D191" i="6"/>
  <c r="C192" i="6"/>
  <c r="D192" i="6"/>
  <c r="C193" i="6"/>
  <c r="D193" i="6"/>
  <c r="C194" i="6"/>
  <c r="D194" i="6"/>
  <c r="C195" i="6"/>
  <c r="D195" i="6"/>
  <c r="C196" i="6"/>
  <c r="D196" i="6"/>
  <c r="C197" i="6"/>
  <c r="D197" i="6"/>
  <c r="C198" i="6"/>
  <c r="D198" i="6"/>
  <c r="C199" i="6"/>
  <c r="D199" i="6"/>
  <c r="C200" i="6"/>
  <c r="D200" i="6"/>
  <c r="C201" i="6"/>
  <c r="D201" i="6"/>
  <c r="C202" i="6"/>
  <c r="D202" i="6"/>
  <c r="C203" i="6"/>
  <c r="D203" i="6"/>
  <c r="C204" i="6"/>
  <c r="D204" i="6"/>
  <c r="C205" i="6"/>
  <c r="D205" i="6"/>
  <c r="C206" i="6"/>
  <c r="D206" i="6"/>
  <c r="C207" i="6"/>
  <c r="D207" i="6"/>
  <c r="C208" i="6"/>
  <c r="D208" i="6"/>
  <c r="C209" i="6"/>
  <c r="D209" i="6"/>
  <c r="C210" i="6"/>
  <c r="D210" i="6"/>
  <c r="C211" i="6"/>
  <c r="D211" i="6"/>
  <c r="C212" i="6"/>
  <c r="D212" i="6"/>
  <c r="C213" i="6"/>
  <c r="D213" i="6"/>
  <c r="C214" i="6"/>
  <c r="D214" i="6"/>
  <c r="C215" i="6"/>
  <c r="D215" i="6"/>
  <c r="C216" i="6"/>
  <c r="D216" i="6"/>
  <c r="C217" i="6"/>
  <c r="D217" i="6"/>
  <c r="C218" i="6"/>
  <c r="D218" i="6"/>
  <c r="C219" i="6"/>
  <c r="D219" i="6"/>
  <c r="C220" i="6"/>
  <c r="D220" i="6"/>
  <c r="C221" i="6"/>
  <c r="D221" i="6"/>
  <c r="C222" i="6"/>
  <c r="D222" i="6"/>
  <c r="C223" i="6"/>
  <c r="D223" i="6"/>
  <c r="C224" i="6"/>
  <c r="D224" i="6"/>
  <c r="C225" i="6"/>
  <c r="D225" i="6"/>
  <c r="C226" i="6"/>
  <c r="D226" i="6"/>
  <c r="C227" i="6"/>
  <c r="D227" i="6"/>
  <c r="C228" i="6"/>
  <c r="D228" i="6"/>
  <c r="C229" i="6"/>
  <c r="D229" i="6"/>
  <c r="C230" i="6"/>
  <c r="D230" i="6"/>
  <c r="C231" i="6"/>
  <c r="D231" i="6"/>
  <c r="C232" i="6"/>
  <c r="D232" i="6"/>
  <c r="C233" i="6"/>
  <c r="D233" i="6"/>
  <c r="C234" i="6"/>
  <c r="D234" i="6"/>
  <c r="C235" i="6"/>
  <c r="D235" i="6"/>
  <c r="C236" i="6"/>
  <c r="D236" i="6"/>
  <c r="C237" i="6"/>
  <c r="D237" i="6"/>
  <c r="C238" i="6"/>
  <c r="D238" i="6"/>
  <c r="C239" i="6"/>
  <c r="D239" i="6"/>
  <c r="C240" i="6"/>
  <c r="D240" i="6"/>
  <c r="C241" i="6"/>
  <c r="D241" i="6"/>
  <c r="C242" i="6"/>
  <c r="D242" i="6"/>
  <c r="C243" i="6"/>
  <c r="D243" i="6"/>
  <c r="C244" i="6"/>
  <c r="D244" i="6"/>
  <c r="C245" i="6"/>
  <c r="D245" i="6"/>
  <c r="C246" i="6"/>
  <c r="D246" i="6"/>
  <c r="C247" i="6"/>
  <c r="D247" i="6"/>
  <c r="C248" i="6"/>
  <c r="D248" i="6"/>
  <c r="C249" i="6"/>
  <c r="D249" i="6"/>
  <c r="C250" i="6"/>
  <c r="D250" i="6"/>
  <c r="C251" i="6"/>
  <c r="D251" i="6"/>
  <c r="C252" i="6"/>
  <c r="D252" i="6"/>
  <c r="C253" i="6"/>
  <c r="D253" i="6"/>
  <c r="C254" i="6"/>
  <c r="D254" i="6"/>
  <c r="C255" i="6"/>
  <c r="D255" i="6"/>
  <c r="C256" i="6"/>
  <c r="D256" i="6"/>
  <c r="C257" i="6"/>
  <c r="D257" i="6"/>
  <c r="C258" i="6"/>
  <c r="D258" i="6"/>
  <c r="C259" i="6"/>
  <c r="D259" i="6"/>
  <c r="C260" i="6"/>
  <c r="D260" i="6"/>
  <c r="C261" i="6"/>
  <c r="D261" i="6"/>
  <c r="C262" i="6"/>
  <c r="D262" i="6"/>
  <c r="C263" i="6"/>
  <c r="D263" i="6"/>
  <c r="C264" i="6"/>
  <c r="D264" i="6"/>
  <c r="C265" i="6"/>
  <c r="D265" i="6"/>
  <c r="C266" i="6"/>
  <c r="D266" i="6"/>
  <c r="C267" i="6"/>
  <c r="D267" i="6"/>
  <c r="C268" i="6"/>
  <c r="D268" i="6"/>
  <c r="C269" i="6"/>
  <c r="D269" i="6"/>
  <c r="C270" i="6"/>
  <c r="D270" i="6"/>
  <c r="C271" i="6"/>
  <c r="D271" i="6"/>
  <c r="C272" i="6"/>
  <c r="D272" i="6"/>
  <c r="C273" i="6"/>
  <c r="D273" i="6"/>
  <c r="C274" i="6"/>
  <c r="D274" i="6"/>
  <c r="C275" i="6"/>
  <c r="D275" i="6"/>
  <c r="C276" i="6"/>
  <c r="D276" i="6"/>
  <c r="C277" i="6"/>
  <c r="D277" i="6"/>
  <c r="C278" i="6"/>
  <c r="D278" i="6"/>
  <c r="C279" i="6"/>
  <c r="D279" i="6"/>
  <c r="C280" i="6"/>
  <c r="D280" i="6"/>
  <c r="C281" i="6"/>
  <c r="D281" i="6"/>
  <c r="C282" i="6"/>
  <c r="D282" i="6"/>
  <c r="C283" i="6"/>
  <c r="D283" i="6"/>
  <c r="C284" i="6"/>
  <c r="D284" i="6"/>
  <c r="C285" i="6"/>
  <c r="D285" i="6"/>
  <c r="C286" i="6"/>
  <c r="D286" i="6"/>
  <c r="C287" i="6"/>
  <c r="D287" i="6"/>
  <c r="C288" i="6"/>
  <c r="D288" i="6"/>
  <c r="C289" i="6"/>
  <c r="D289" i="6"/>
  <c r="C290" i="6"/>
  <c r="D290" i="6"/>
  <c r="C291" i="6"/>
  <c r="D291" i="6"/>
  <c r="C292" i="6"/>
  <c r="D292" i="6"/>
  <c r="C293" i="6"/>
  <c r="D293" i="6"/>
  <c r="C294" i="6"/>
  <c r="D294" i="6"/>
  <c r="C295" i="6"/>
  <c r="D295" i="6"/>
  <c r="C296" i="6"/>
  <c r="D296" i="6"/>
  <c r="C297" i="6"/>
  <c r="D297" i="6"/>
  <c r="C298" i="6"/>
  <c r="D298" i="6"/>
  <c r="C299" i="6"/>
  <c r="D299" i="6"/>
  <c r="C300" i="6"/>
  <c r="D300" i="6"/>
  <c r="C301" i="6"/>
  <c r="D301" i="6"/>
  <c r="C302" i="6"/>
  <c r="D302" i="6"/>
  <c r="C303" i="6"/>
  <c r="D303" i="6"/>
  <c r="C304" i="6"/>
  <c r="D304" i="6"/>
  <c r="C305" i="6"/>
  <c r="D305" i="6"/>
  <c r="C306" i="6"/>
  <c r="D306" i="6"/>
  <c r="C307" i="6"/>
  <c r="D307" i="6"/>
  <c r="C308" i="6"/>
  <c r="D308" i="6"/>
  <c r="C309" i="6"/>
  <c r="D309" i="6"/>
  <c r="C310" i="6"/>
  <c r="D310" i="6"/>
  <c r="C311" i="6"/>
  <c r="D311" i="6"/>
  <c r="C312" i="6"/>
  <c r="D312" i="6"/>
  <c r="C313" i="6"/>
  <c r="D313" i="6"/>
  <c r="C314" i="6"/>
  <c r="D314" i="6"/>
  <c r="C315" i="6"/>
  <c r="D315" i="6"/>
  <c r="C316" i="6"/>
  <c r="D316" i="6"/>
  <c r="C317" i="6"/>
  <c r="D317" i="6"/>
  <c r="C318" i="6"/>
  <c r="D318" i="6"/>
  <c r="C319" i="6"/>
  <c r="D319" i="6"/>
  <c r="C320" i="6"/>
  <c r="D320" i="6"/>
  <c r="C321" i="6"/>
  <c r="D321" i="6"/>
  <c r="C322" i="6"/>
  <c r="D322" i="6"/>
  <c r="C323" i="6"/>
  <c r="D323" i="6"/>
  <c r="C324" i="6"/>
  <c r="D324" i="6"/>
  <c r="C325" i="6"/>
  <c r="D325" i="6"/>
  <c r="C326" i="6"/>
  <c r="D326" i="6"/>
  <c r="C327" i="6"/>
  <c r="D327" i="6"/>
  <c r="C328" i="6"/>
  <c r="D328" i="6"/>
  <c r="C329" i="6"/>
  <c r="D329" i="6"/>
  <c r="C330" i="6"/>
  <c r="D330" i="6"/>
  <c r="C331" i="6"/>
  <c r="D331" i="6"/>
  <c r="C332" i="6"/>
  <c r="D332" i="6"/>
  <c r="C333" i="6"/>
  <c r="D333" i="6"/>
  <c r="C334" i="6"/>
  <c r="D334" i="6"/>
  <c r="C335" i="6"/>
  <c r="D335" i="6"/>
  <c r="C336" i="6"/>
  <c r="D336" i="6"/>
  <c r="C337" i="6"/>
  <c r="D337" i="6"/>
  <c r="C338" i="6"/>
  <c r="D338" i="6"/>
  <c r="C339" i="6"/>
  <c r="D339" i="6"/>
  <c r="C340" i="6"/>
  <c r="D340" i="6"/>
  <c r="C341" i="6"/>
  <c r="D341" i="6"/>
  <c r="C342" i="6"/>
  <c r="D342" i="6"/>
  <c r="C343" i="6"/>
  <c r="D343" i="6"/>
  <c r="C344" i="6"/>
  <c r="D344" i="6"/>
  <c r="C345" i="6"/>
  <c r="D345" i="6"/>
  <c r="C346" i="6"/>
  <c r="D346" i="6"/>
  <c r="C347" i="6"/>
  <c r="D347" i="6"/>
  <c r="C348" i="6"/>
  <c r="D348" i="6"/>
  <c r="C349" i="6"/>
  <c r="D349" i="6"/>
  <c r="C350" i="6"/>
  <c r="D350" i="6"/>
  <c r="C351" i="6"/>
  <c r="D351" i="6"/>
  <c r="C352" i="6"/>
  <c r="D352" i="6"/>
  <c r="C353" i="6"/>
  <c r="D353" i="6"/>
  <c r="C354" i="6"/>
  <c r="D354" i="6"/>
  <c r="C355" i="6"/>
  <c r="D355" i="6"/>
  <c r="C356" i="6"/>
  <c r="D356" i="6"/>
  <c r="C357" i="6"/>
  <c r="D357" i="6"/>
  <c r="C358" i="6"/>
  <c r="D358" i="6"/>
  <c r="C359" i="6"/>
  <c r="D359" i="6"/>
  <c r="C360" i="6"/>
  <c r="D360" i="6"/>
  <c r="C361" i="6"/>
  <c r="D361" i="6"/>
  <c r="C362" i="6"/>
  <c r="D362" i="6"/>
  <c r="C363" i="6"/>
  <c r="D363" i="6"/>
  <c r="C364" i="6"/>
  <c r="D364" i="6"/>
  <c r="C365" i="6"/>
  <c r="D365" i="6"/>
  <c r="C366" i="6"/>
  <c r="D366" i="6"/>
  <c r="C367" i="6"/>
  <c r="D367" i="6"/>
  <c r="C368" i="6"/>
  <c r="D368" i="6"/>
  <c r="C369" i="6"/>
  <c r="D369" i="6"/>
  <c r="C370" i="6"/>
  <c r="D370" i="6"/>
  <c r="C371" i="6"/>
  <c r="D371" i="6"/>
  <c r="C372" i="6"/>
  <c r="D372" i="6"/>
  <c r="C373" i="6"/>
  <c r="D373" i="6"/>
  <c r="C374" i="6"/>
  <c r="D374" i="6"/>
  <c r="C375" i="6"/>
  <c r="D375" i="6"/>
  <c r="C376" i="6"/>
  <c r="D376" i="6"/>
  <c r="C377" i="6"/>
  <c r="D377" i="6"/>
  <c r="C378" i="6"/>
  <c r="D378" i="6"/>
  <c r="B378" i="6"/>
  <c r="B377" i="6"/>
  <c r="B376" i="6"/>
  <c r="B375" i="6"/>
  <c r="B374" i="6"/>
  <c r="B373" i="6"/>
  <c r="B372" i="6"/>
  <c r="B371" i="6"/>
  <c r="B370" i="6"/>
  <c r="B369" i="6"/>
  <c r="B368" i="6"/>
  <c r="B367" i="6"/>
  <c r="B366" i="6"/>
  <c r="B365" i="6"/>
  <c r="B364" i="6"/>
  <c r="B363" i="6"/>
  <c r="B362" i="6"/>
  <c r="B361" i="6"/>
  <c r="B360" i="6"/>
  <c r="B359" i="6"/>
  <c r="B358" i="6"/>
  <c r="B357" i="6"/>
  <c r="B356" i="6"/>
  <c r="B355" i="6"/>
  <c r="B354" i="6"/>
  <c r="B353" i="6"/>
  <c r="B352" i="6"/>
  <c r="B351" i="6"/>
  <c r="B350" i="6"/>
  <c r="B349" i="6"/>
  <c r="B348" i="6"/>
  <c r="B347" i="6"/>
  <c r="B346" i="6"/>
  <c r="B345" i="6"/>
  <c r="B344" i="6"/>
  <c r="B343" i="6"/>
  <c r="B342" i="6"/>
  <c r="B341" i="6"/>
  <c r="B340" i="6"/>
  <c r="B339" i="6"/>
  <c r="B338" i="6"/>
  <c r="B337" i="6"/>
  <c r="B336" i="6"/>
  <c r="B335" i="6"/>
  <c r="B334" i="6"/>
  <c r="B333" i="6"/>
  <c r="B332" i="6"/>
  <c r="B331" i="6"/>
  <c r="B330" i="6"/>
  <c r="B329" i="6"/>
  <c r="B328" i="6"/>
  <c r="B327" i="6"/>
  <c r="B326" i="6"/>
  <c r="B325" i="6"/>
  <c r="B324" i="6"/>
  <c r="B323" i="6"/>
  <c r="B322" i="6"/>
  <c r="B321" i="6"/>
  <c r="B320" i="6"/>
  <c r="B319" i="6"/>
  <c r="B318" i="6"/>
  <c r="B317" i="6"/>
  <c r="B316" i="6"/>
  <c r="B315" i="6"/>
  <c r="B314" i="6"/>
  <c r="B313" i="6"/>
  <c r="B312" i="6"/>
  <c r="B311" i="6"/>
  <c r="B310" i="6"/>
  <c r="B309" i="6"/>
  <c r="B308" i="6"/>
  <c r="B307" i="6"/>
  <c r="B306" i="6"/>
  <c r="B305" i="6"/>
  <c r="B304" i="6"/>
  <c r="B303" i="6"/>
  <c r="B302" i="6"/>
  <c r="B301" i="6"/>
  <c r="B300" i="6"/>
  <c r="B299" i="6"/>
  <c r="B298" i="6"/>
  <c r="B297" i="6"/>
  <c r="B296" i="6"/>
  <c r="B295" i="6"/>
  <c r="B294" i="6"/>
  <c r="B293" i="6"/>
  <c r="B292" i="6"/>
  <c r="B291" i="6"/>
  <c r="B290" i="6"/>
  <c r="B289" i="6"/>
  <c r="B288" i="6"/>
  <c r="B287" i="6"/>
  <c r="B286" i="6"/>
  <c r="B285" i="6"/>
  <c r="B284" i="6"/>
  <c r="B283" i="6"/>
  <c r="B282" i="6"/>
  <c r="B281" i="6"/>
  <c r="B280" i="6"/>
  <c r="B279" i="6"/>
  <c r="B278" i="6"/>
  <c r="B277" i="6"/>
  <c r="B276" i="6"/>
  <c r="B275" i="6"/>
  <c r="B274" i="6"/>
  <c r="B273" i="6"/>
  <c r="B272" i="6"/>
  <c r="B271" i="6"/>
  <c r="B270" i="6"/>
  <c r="B269" i="6"/>
  <c r="B268" i="6"/>
  <c r="B267" i="6"/>
  <c r="B266" i="6"/>
  <c r="B265" i="6"/>
  <c r="B264" i="6"/>
  <c r="B263" i="6"/>
  <c r="B262" i="6"/>
  <c r="B261" i="6"/>
  <c r="B260" i="6"/>
  <c r="B259" i="6"/>
  <c r="B258" i="6"/>
  <c r="B257" i="6"/>
  <c r="B256" i="6"/>
  <c r="B255" i="6"/>
  <c r="B254" i="6"/>
  <c r="B253" i="6"/>
  <c r="B252" i="6"/>
  <c r="B251" i="6"/>
  <c r="B250" i="6"/>
  <c r="B249" i="6"/>
  <c r="B248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15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E12" i="6"/>
  <c r="C12" i="6"/>
  <c r="C12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2" i="5"/>
  <c r="D30" i="4"/>
  <c r="B31" i="4"/>
  <c r="C31" i="4"/>
  <c r="D31" i="4"/>
  <c r="B32" i="4"/>
  <c r="C32" i="4"/>
  <c r="D32" i="4"/>
  <c r="B33" i="4"/>
  <c r="C33" i="4"/>
  <c r="D33" i="4"/>
  <c r="B34" i="4"/>
  <c r="C34" i="4"/>
  <c r="D34" i="4"/>
  <c r="B35" i="4"/>
  <c r="C35" i="4"/>
  <c r="D35" i="4"/>
  <c r="B36" i="4"/>
  <c r="C36" i="4"/>
  <c r="D36" i="4"/>
  <c r="B37" i="4"/>
  <c r="C37" i="4"/>
  <c r="D37" i="4"/>
  <c r="B38" i="4"/>
  <c r="C38" i="4"/>
  <c r="D38" i="4"/>
  <c r="B39" i="4"/>
  <c r="C39" i="4"/>
  <c r="D39" i="4"/>
  <c r="B40" i="4"/>
  <c r="C40" i="4"/>
  <c r="D40" i="4"/>
  <c r="B41" i="4"/>
  <c r="C41" i="4"/>
  <c r="D41" i="4"/>
  <c r="B42" i="4"/>
  <c r="C42" i="4"/>
  <c r="D42" i="4"/>
  <c r="B43" i="4"/>
  <c r="C43" i="4"/>
  <c r="D43" i="4"/>
  <c r="B44" i="4"/>
  <c r="C44" i="4"/>
  <c r="D44" i="4"/>
  <c r="B45" i="4"/>
  <c r="C45" i="4"/>
  <c r="D45" i="4"/>
  <c r="B46" i="4"/>
  <c r="C46" i="4"/>
  <c r="D46" i="4"/>
  <c r="B47" i="4"/>
  <c r="C47" i="4"/>
  <c r="D47" i="4"/>
  <c r="B48" i="4"/>
  <c r="C48" i="4"/>
  <c r="D48" i="4"/>
  <c r="B49" i="4"/>
  <c r="C49" i="4"/>
  <c r="D49" i="4"/>
  <c r="B50" i="4"/>
  <c r="C50" i="4"/>
  <c r="D50" i="4"/>
  <c r="B51" i="4"/>
  <c r="C51" i="4"/>
  <c r="D51" i="4"/>
  <c r="B52" i="4"/>
  <c r="C52" i="4"/>
  <c r="D52" i="4"/>
  <c r="B53" i="4"/>
  <c r="C53" i="4"/>
  <c r="D53" i="4"/>
  <c r="B54" i="4"/>
  <c r="C54" i="4"/>
  <c r="D54" i="4"/>
  <c r="B55" i="4"/>
  <c r="C55" i="4"/>
  <c r="D55" i="4"/>
  <c r="B56" i="4"/>
  <c r="C56" i="4"/>
  <c r="D56" i="4"/>
  <c r="B57" i="4"/>
  <c r="C57" i="4"/>
  <c r="D57" i="4"/>
  <c r="B58" i="4"/>
  <c r="C58" i="4"/>
  <c r="D58" i="4"/>
  <c r="B59" i="4"/>
  <c r="C59" i="4"/>
  <c r="D59" i="4"/>
  <c r="B60" i="4"/>
  <c r="C60" i="4"/>
  <c r="D60" i="4"/>
  <c r="B61" i="4"/>
  <c r="C61" i="4"/>
  <c r="D61" i="4"/>
  <c r="B62" i="4"/>
  <c r="C62" i="4"/>
  <c r="D62" i="4"/>
  <c r="B63" i="4"/>
  <c r="C63" i="4"/>
  <c r="D63" i="4"/>
  <c r="B64" i="4"/>
  <c r="C64" i="4"/>
  <c r="D64" i="4"/>
  <c r="B65" i="4"/>
  <c r="C65" i="4"/>
  <c r="D65" i="4"/>
  <c r="B66" i="4"/>
  <c r="C66" i="4"/>
  <c r="D66" i="4"/>
  <c r="B67" i="4"/>
  <c r="C67" i="4"/>
  <c r="D67" i="4"/>
  <c r="B68" i="4"/>
  <c r="C68" i="4"/>
  <c r="D68" i="4"/>
  <c r="B69" i="4"/>
  <c r="C69" i="4"/>
  <c r="D69" i="4"/>
  <c r="B70" i="4"/>
  <c r="C70" i="4"/>
  <c r="D70" i="4"/>
  <c r="B71" i="4"/>
  <c r="C71" i="4"/>
  <c r="D71" i="4"/>
  <c r="B72" i="4"/>
  <c r="C72" i="4"/>
  <c r="D72" i="4"/>
  <c r="B73" i="4"/>
  <c r="C73" i="4"/>
  <c r="D73" i="4"/>
  <c r="B74" i="4"/>
  <c r="C74" i="4"/>
  <c r="D74" i="4"/>
  <c r="B75" i="4"/>
  <c r="C75" i="4"/>
  <c r="D75" i="4"/>
  <c r="B76" i="4"/>
  <c r="C76" i="4"/>
  <c r="D76" i="4"/>
  <c r="B77" i="4"/>
  <c r="C77" i="4"/>
  <c r="D77" i="4"/>
  <c r="B78" i="4"/>
  <c r="C78" i="4"/>
  <c r="D78" i="4"/>
  <c r="B79" i="4"/>
  <c r="C79" i="4"/>
  <c r="D79" i="4"/>
  <c r="B80" i="4"/>
  <c r="C80" i="4"/>
  <c r="D80" i="4"/>
  <c r="B81" i="4"/>
  <c r="C81" i="4"/>
  <c r="D81" i="4"/>
  <c r="B82" i="4"/>
  <c r="C82" i="4"/>
  <c r="D82" i="4"/>
  <c r="B83" i="4"/>
  <c r="C83" i="4"/>
  <c r="D83" i="4"/>
  <c r="B84" i="4"/>
  <c r="C84" i="4"/>
  <c r="D84" i="4"/>
  <c r="B85" i="4"/>
  <c r="C85" i="4"/>
  <c r="D85" i="4"/>
  <c r="B86" i="4"/>
  <c r="C86" i="4"/>
  <c r="D86" i="4"/>
  <c r="B87" i="4"/>
  <c r="C87" i="4"/>
  <c r="D87" i="4"/>
  <c r="B88" i="4"/>
  <c r="C88" i="4"/>
  <c r="D88" i="4"/>
  <c r="B89" i="4"/>
  <c r="C89" i="4"/>
  <c r="D89" i="4"/>
  <c r="B90" i="4"/>
  <c r="C90" i="4"/>
  <c r="D90" i="4"/>
  <c r="B91" i="4"/>
  <c r="C91" i="4"/>
  <c r="D91" i="4"/>
  <c r="B92" i="4"/>
  <c r="C92" i="4"/>
  <c r="D92" i="4"/>
  <c r="B93" i="4"/>
  <c r="C93" i="4"/>
  <c r="D93" i="4"/>
  <c r="B94" i="4"/>
  <c r="C94" i="4"/>
  <c r="D94" i="4"/>
  <c r="B95" i="4"/>
  <c r="C95" i="4"/>
  <c r="D95" i="4"/>
  <c r="B96" i="4"/>
  <c r="C96" i="4"/>
  <c r="D96" i="4"/>
  <c r="B97" i="4"/>
  <c r="C97" i="4"/>
  <c r="D97" i="4"/>
  <c r="B98" i="4"/>
  <c r="C98" i="4"/>
  <c r="D98" i="4"/>
  <c r="B99" i="4"/>
  <c r="C99" i="4"/>
  <c r="D99" i="4"/>
  <c r="B100" i="4"/>
  <c r="C100" i="4"/>
  <c r="D100" i="4"/>
  <c r="B101" i="4"/>
  <c r="C101" i="4"/>
  <c r="D101" i="4"/>
  <c r="B102" i="4"/>
  <c r="C102" i="4"/>
  <c r="D102" i="4"/>
  <c r="B103" i="4"/>
  <c r="C103" i="4"/>
  <c r="D103" i="4"/>
  <c r="B104" i="4"/>
  <c r="C104" i="4"/>
  <c r="D104" i="4"/>
  <c r="B105" i="4"/>
  <c r="C105" i="4"/>
  <c r="D105" i="4"/>
  <c r="B106" i="4"/>
  <c r="C106" i="4"/>
  <c r="D106" i="4"/>
  <c r="B107" i="4"/>
  <c r="C107" i="4"/>
  <c r="D107" i="4"/>
  <c r="B108" i="4"/>
  <c r="C108" i="4"/>
  <c r="D108" i="4"/>
  <c r="B109" i="4"/>
  <c r="C109" i="4"/>
  <c r="D109" i="4"/>
  <c r="B110" i="4"/>
  <c r="C110" i="4"/>
  <c r="D110" i="4"/>
  <c r="B111" i="4"/>
  <c r="C111" i="4"/>
  <c r="D111" i="4"/>
  <c r="B112" i="4"/>
  <c r="C112" i="4"/>
  <c r="D112" i="4"/>
  <c r="B113" i="4"/>
  <c r="C113" i="4"/>
  <c r="D113" i="4"/>
  <c r="B114" i="4"/>
  <c r="C114" i="4"/>
  <c r="D114" i="4"/>
  <c r="B115" i="4"/>
  <c r="C115" i="4"/>
  <c r="D115" i="4"/>
  <c r="B116" i="4"/>
  <c r="C116" i="4"/>
  <c r="D116" i="4"/>
  <c r="B117" i="4"/>
  <c r="C117" i="4"/>
  <c r="D117" i="4"/>
  <c r="B118" i="4"/>
  <c r="C118" i="4"/>
  <c r="D118" i="4"/>
  <c r="B119" i="4"/>
  <c r="C119" i="4"/>
  <c r="D119" i="4"/>
  <c r="B120" i="4"/>
  <c r="C120" i="4"/>
  <c r="D120" i="4"/>
  <c r="B121" i="4"/>
  <c r="C121" i="4"/>
  <c r="D121" i="4"/>
  <c r="B122" i="4"/>
  <c r="C122" i="4"/>
  <c r="D122" i="4"/>
  <c r="B123" i="4"/>
  <c r="C123" i="4"/>
  <c r="D123" i="4"/>
  <c r="B124" i="4"/>
  <c r="C124" i="4"/>
  <c r="D124" i="4"/>
  <c r="B125" i="4"/>
  <c r="C125" i="4"/>
  <c r="D125" i="4"/>
  <c r="B126" i="4"/>
  <c r="C126" i="4"/>
  <c r="D126" i="4"/>
  <c r="B127" i="4"/>
  <c r="C127" i="4"/>
  <c r="D127" i="4"/>
  <c r="B128" i="4"/>
  <c r="C128" i="4"/>
  <c r="D128" i="4"/>
  <c r="B129" i="4"/>
  <c r="C129" i="4"/>
  <c r="D129" i="4"/>
  <c r="B130" i="4"/>
  <c r="C130" i="4"/>
  <c r="D130" i="4"/>
  <c r="B131" i="4"/>
  <c r="C131" i="4"/>
  <c r="D131" i="4"/>
  <c r="B132" i="4"/>
  <c r="C132" i="4"/>
  <c r="D132" i="4"/>
  <c r="B133" i="4"/>
  <c r="C133" i="4"/>
  <c r="D133" i="4"/>
  <c r="B134" i="4"/>
  <c r="C134" i="4"/>
  <c r="D134" i="4"/>
  <c r="B135" i="4"/>
  <c r="C135" i="4"/>
  <c r="D135" i="4"/>
  <c r="B136" i="4"/>
  <c r="C136" i="4"/>
  <c r="D136" i="4"/>
  <c r="B137" i="4"/>
  <c r="C137" i="4"/>
  <c r="D137" i="4"/>
  <c r="B138" i="4"/>
  <c r="C138" i="4"/>
  <c r="D138" i="4"/>
  <c r="B139" i="4"/>
  <c r="C139" i="4"/>
  <c r="D139" i="4"/>
  <c r="B140" i="4"/>
  <c r="C140" i="4"/>
  <c r="D140" i="4"/>
  <c r="B141" i="4"/>
  <c r="C141" i="4"/>
  <c r="D141" i="4"/>
  <c r="B142" i="4"/>
  <c r="C142" i="4"/>
  <c r="D142" i="4"/>
  <c r="B143" i="4"/>
  <c r="C143" i="4"/>
  <c r="D143" i="4"/>
  <c r="B144" i="4"/>
  <c r="C144" i="4"/>
  <c r="D144" i="4"/>
  <c r="B145" i="4"/>
  <c r="C145" i="4"/>
  <c r="D145" i="4"/>
  <c r="B146" i="4"/>
  <c r="C146" i="4"/>
  <c r="D146" i="4"/>
  <c r="B147" i="4"/>
  <c r="C147" i="4"/>
  <c r="D147" i="4"/>
  <c r="B148" i="4"/>
  <c r="C148" i="4"/>
  <c r="D148" i="4"/>
  <c r="B149" i="4"/>
  <c r="C149" i="4"/>
  <c r="D149" i="4"/>
  <c r="B150" i="4"/>
  <c r="C150" i="4"/>
  <c r="D150" i="4"/>
  <c r="B151" i="4"/>
  <c r="C151" i="4"/>
  <c r="D151" i="4"/>
  <c r="B152" i="4"/>
  <c r="C152" i="4"/>
  <c r="D152" i="4"/>
  <c r="B153" i="4"/>
  <c r="C153" i="4"/>
  <c r="D153" i="4"/>
  <c r="B154" i="4"/>
  <c r="C154" i="4"/>
  <c r="D154" i="4"/>
  <c r="B155" i="4"/>
  <c r="C155" i="4"/>
  <c r="D155" i="4"/>
  <c r="B156" i="4"/>
  <c r="C156" i="4"/>
  <c r="D156" i="4"/>
  <c r="B157" i="4"/>
  <c r="C157" i="4"/>
  <c r="D157" i="4"/>
  <c r="B158" i="4"/>
  <c r="C158" i="4"/>
  <c r="D158" i="4"/>
  <c r="B159" i="4"/>
  <c r="C159" i="4"/>
  <c r="D159" i="4"/>
  <c r="B160" i="4"/>
  <c r="C160" i="4"/>
  <c r="D160" i="4"/>
  <c r="B161" i="4"/>
  <c r="C161" i="4"/>
  <c r="D161" i="4"/>
  <c r="B162" i="4"/>
  <c r="C162" i="4"/>
  <c r="D162" i="4"/>
  <c r="B163" i="4"/>
  <c r="C163" i="4"/>
  <c r="D163" i="4"/>
  <c r="B164" i="4"/>
  <c r="C164" i="4"/>
  <c r="D164" i="4"/>
  <c r="B165" i="4"/>
  <c r="C165" i="4"/>
  <c r="D165" i="4"/>
  <c r="B166" i="4"/>
  <c r="C166" i="4"/>
  <c r="D166" i="4"/>
  <c r="B167" i="4"/>
  <c r="C167" i="4"/>
  <c r="D167" i="4"/>
  <c r="B168" i="4"/>
  <c r="C168" i="4"/>
  <c r="D168" i="4"/>
  <c r="B169" i="4"/>
  <c r="C169" i="4"/>
  <c r="D169" i="4"/>
  <c r="B170" i="4"/>
  <c r="C170" i="4"/>
  <c r="D170" i="4"/>
  <c r="B171" i="4"/>
  <c r="C171" i="4"/>
  <c r="D171" i="4"/>
  <c r="B172" i="4"/>
  <c r="C172" i="4"/>
  <c r="D172" i="4"/>
  <c r="B173" i="4"/>
  <c r="C173" i="4"/>
  <c r="D173" i="4"/>
  <c r="B174" i="4"/>
  <c r="C174" i="4"/>
  <c r="D174" i="4"/>
  <c r="B175" i="4"/>
  <c r="C175" i="4"/>
  <c r="D175" i="4"/>
  <c r="B176" i="4"/>
  <c r="C176" i="4"/>
  <c r="D176" i="4"/>
  <c r="B177" i="4"/>
  <c r="C177" i="4"/>
  <c r="D177" i="4"/>
  <c r="B178" i="4"/>
  <c r="C178" i="4"/>
  <c r="D178" i="4"/>
  <c r="B179" i="4"/>
  <c r="C179" i="4"/>
  <c r="D179" i="4"/>
  <c r="B180" i="4"/>
  <c r="C180" i="4"/>
  <c r="D180" i="4"/>
  <c r="B181" i="4"/>
  <c r="C181" i="4"/>
  <c r="D181" i="4"/>
  <c r="B182" i="4"/>
  <c r="C182" i="4"/>
  <c r="D182" i="4"/>
  <c r="B183" i="4"/>
  <c r="C183" i="4"/>
  <c r="D183" i="4"/>
  <c r="B184" i="4"/>
  <c r="C184" i="4"/>
  <c r="D184" i="4"/>
  <c r="B185" i="4"/>
  <c r="C185" i="4"/>
  <c r="D185" i="4"/>
  <c r="B186" i="4"/>
  <c r="C186" i="4"/>
  <c r="D186" i="4"/>
  <c r="B187" i="4"/>
  <c r="C187" i="4"/>
  <c r="D187" i="4"/>
  <c r="B188" i="4"/>
  <c r="C188" i="4"/>
  <c r="D188" i="4"/>
  <c r="B189" i="4"/>
  <c r="C189" i="4"/>
  <c r="D189" i="4"/>
  <c r="B190" i="4"/>
  <c r="C190" i="4"/>
  <c r="D190" i="4"/>
  <c r="B191" i="4"/>
  <c r="C191" i="4"/>
  <c r="D191" i="4"/>
  <c r="B192" i="4"/>
  <c r="C192" i="4"/>
  <c r="D192" i="4"/>
  <c r="B193" i="4"/>
  <c r="C193" i="4"/>
  <c r="D193" i="4"/>
  <c r="B194" i="4"/>
  <c r="C194" i="4"/>
  <c r="D194" i="4"/>
  <c r="B195" i="4"/>
  <c r="C195" i="4"/>
  <c r="D195" i="4"/>
  <c r="B196" i="4"/>
  <c r="C196" i="4"/>
  <c r="D196" i="4"/>
  <c r="B197" i="4"/>
  <c r="C197" i="4"/>
  <c r="D197" i="4"/>
  <c r="B198" i="4"/>
  <c r="C198" i="4"/>
  <c r="D198" i="4"/>
  <c r="B199" i="4"/>
  <c r="C199" i="4"/>
  <c r="D199" i="4"/>
  <c r="B200" i="4"/>
  <c r="C200" i="4"/>
  <c r="D200" i="4"/>
  <c r="B201" i="4"/>
  <c r="C201" i="4"/>
  <c r="D201" i="4"/>
  <c r="B202" i="4"/>
  <c r="C202" i="4"/>
  <c r="D202" i="4"/>
  <c r="B203" i="4"/>
  <c r="C203" i="4"/>
  <c r="D203" i="4"/>
  <c r="B204" i="4"/>
  <c r="C204" i="4"/>
  <c r="D204" i="4"/>
  <c r="B205" i="4"/>
  <c r="C205" i="4"/>
  <c r="D205" i="4"/>
  <c r="B206" i="4"/>
  <c r="C206" i="4"/>
  <c r="D206" i="4"/>
  <c r="B207" i="4"/>
  <c r="C207" i="4"/>
  <c r="D207" i="4"/>
  <c r="B208" i="4"/>
  <c r="C208" i="4"/>
  <c r="D208" i="4"/>
  <c r="B209" i="4"/>
  <c r="C209" i="4"/>
  <c r="D209" i="4"/>
  <c r="B210" i="4"/>
  <c r="C210" i="4"/>
  <c r="D210" i="4"/>
  <c r="B211" i="4"/>
  <c r="C211" i="4"/>
  <c r="D211" i="4"/>
  <c r="B212" i="4"/>
  <c r="C212" i="4"/>
  <c r="D212" i="4"/>
  <c r="B213" i="4"/>
  <c r="C213" i="4"/>
  <c r="D213" i="4"/>
  <c r="B214" i="4"/>
  <c r="C214" i="4"/>
  <c r="D214" i="4"/>
  <c r="B215" i="4"/>
  <c r="C215" i="4"/>
  <c r="D215" i="4"/>
  <c r="B216" i="4"/>
  <c r="C216" i="4"/>
  <c r="D216" i="4"/>
  <c r="B217" i="4"/>
  <c r="C217" i="4"/>
  <c r="D217" i="4"/>
  <c r="B218" i="4"/>
  <c r="C218" i="4"/>
  <c r="D218" i="4"/>
  <c r="B219" i="4"/>
  <c r="C219" i="4"/>
  <c r="D219" i="4"/>
  <c r="B220" i="4"/>
  <c r="C220" i="4"/>
  <c r="D220" i="4"/>
  <c r="B221" i="4"/>
  <c r="C221" i="4"/>
  <c r="D221" i="4"/>
  <c r="B222" i="4"/>
  <c r="C222" i="4"/>
  <c r="D222" i="4"/>
  <c r="B223" i="4"/>
  <c r="C223" i="4"/>
  <c r="D223" i="4"/>
  <c r="B224" i="4"/>
  <c r="C224" i="4"/>
  <c r="D224" i="4"/>
  <c r="B225" i="4"/>
  <c r="C225" i="4"/>
  <c r="D225" i="4"/>
  <c r="B226" i="4"/>
  <c r="C226" i="4"/>
  <c r="D226" i="4"/>
  <c r="B227" i="4"/>
  <c r="C227" i="4"/>
  <c r="D227" i="4"/>
  <c r="B228" i="4"/>
  <c r="C228" i="4"/>
  <c r="D228" i="4"/>
  <c r="B229" i="4"/>
  <c r="C229" i="4"/>
  <c r="D229" i="4"/>
  <c r="B230" i="4"/>
  <c r="C230" i="4"/>
  <c r="D230" i="4"/>
  <c r="B231" i="4"/>
  <c r="C231" i="4"/>
  <c r="D231" i="4"/>
  <c r="B232" i="4"/>
  <c r="C232" i="4"/>
  <c r="D232" i="4"/>
  <c r="B233" i="4"/>
  <c r="C233" i="4"/>
  <c r="D233" i="4"/>
  <c r="B234" i="4"/>
  <c r="C234" i="4"/>
  <c r="D234" i="4"/>
  <c r="B235" i="4"/>
  <c r="C235" i="4"/>
  <c r="D235" i="4"/>
  <c r="B236" i="4"/>
  <c r="C236" i="4"/>
  <c r="D236" i="4"/>
  <c r="B237" i="4"/>
  <c r="C237" i="4"/>
  <c r="D237" i="4"/>
  <c r="B238" i="4"/>
  <c r="C238" i="4"/>
  <c r="D238" i="4"/>
  <c r="B239" i="4"/>
  <c r="C239" i="4"/>
  <c r="D239" i="4"/>
  <c r="B240" i="4"/>
  <c r="C240" i="4"/>
  <c r="D240" i="4"/>
  <c r="B241" i="4"/>
  <c r="C241" i="4"/>
  <c r="D241" i="4"/>
  <c r="B242" i="4"/>
  <c r="C242" i="4"/>
  <c r="D242" i="4"/>
  <c r="B243" i="4"/>
  <c r="C243" i="4"/>
  <c r="D243" i="4"/>
  <c r="B244" i="4"/>
  <c r="C244" i="4"/>
  <c r="D244" i="4"/>
  <c r="B245" i="4"/>
  <c r="C245" i="4"/>
  <c r="D245" i="4"/>
  <c r="B246" i="4"/>
  <c r="C246" i="4"/>
  <c r="D246" i="4"/>
  <c r="B247" i="4"/>
  <c r="C247" i="4"/>
  <c r="D247" i="4"/>
  <c r="B248" i="4"/>
  <c r="C248" i="4"/>
  <c r="D248" i="4"/>
  <c r="B249" i="4"/>
  <c r="C249" i="4"/>
  <c r="D249" i="4"/>
  <c r="B250" i="4"/>
  <c r="C250" i="4"/>
  <c r="D250" i="4"/>
  <c r="B251" i="4"/>
  <c r="C251" i="4"/>
  <c r="D251" i="4"/>
  <c r="B252" i="4"/>
  <c r="C252" i="4"/>
  <c r="D252" i="4"/>
  <c r="B253" i="4"/>
  <c r="C253" i="4"/>
  <c r="D253" i="4"/>
  <c r="B254" i="4"/>
  <c r="C254" i="4"/>
  <c r="D254" i="4"/>
  <c r="B255" i="4"/>
  <c r="C255" i="4"/>
  <c r="D255" i="4"/>
  <c r="B256" i="4"/>
  <c r="C256" i="4"/>
  <c r="D256" i="4"/>
  <c r="B257" i="4"/>
  <c r="C257" i="4"/>
  <c r="D257" i="4"/>
  <c r="B258" i="4"/>
  <c r="C258" i="4"/>
  <c r="D258" i="4"/>
  <c r="B259" i="4"/>
  <c r="C259" i="4"/>
  <c r="D259" i="4"/>
  <c r="B260" i="4"/>
  <c r="C260" i="4"/>
  <c r="D260" i="4"/>
  <c r="B261" i="4"/>
  <c r="C261" i="4"/>
  <c r="D261" i="4"/>
  <c r="B262" i="4"/>
  <c r="C262" i="4"/>
  <c r="D262" i="4"/>
  <c r="B263" i="4"/>
  <c r="C263" i="4"/>
  <c r="D263" i="4"/>
  <c r="B264" i="4"/>
  <c r="C264" i="4"/>
  <c r="D264" i="4"/>
  <c r="B265" i="4"/>
  <c r="C265" i="4"/>
  <c r="D265" i="4"/>
  <c r="B266" i="4"/>
  <c r="C266" i="4"/>
  <c r="D266" i="4"/>
  <c r="B267" i="4"/>
  <c r="C267" i="4"/>
  <c r="D267" i="4"/>
  <c r="B268" i="4"/>
  <c r="C268" i="4"/>
  <c r="D268" i="4"/>
  <c r="B269" i="4"/>
  <c r="C269" i="4"/>
  <c r="D269" i="4"/>
  <c r="B270" i="4"/>
  <c r="C270" i="4"/>
  <c r="D270" i="4"/>
  <c r="B271" i="4"/>
  <c r="C271" i="4"/>
  <c r="D271" i="4"/>
  <c r="B272" i="4"/>
  <c r="C272" i="4"/>
  <c r="D272" i="4"/>
  <c r="B273" i="4"/>
  <c r="C273" i="4"/>
  <c r="D273" i="4"/>
  <c r="B274" i="4"/>
  <c r="C274" i="4"/>
  <c r="D274" i="4"/>
  <c r="B275" i="4"/>
  <c r="C275" i="4"/>
  <c r="D275" i="4"/>
  <c r="B276" i="4"/>
  <c r="C276" i="4"/>
  <c r="D276" i="4"/>
  <c r="B277" i="4"/>
  <c r="C277" i="4"/>
  <c r="D277" i="4"/>
  <c r="B278" i="4"/>
  <c r="C278" i="4"/>
  <c r="D278" i="4"/>
  <c r="B279" i="4"/>
  <c r="C279" i="4"/>
  <c r="D279" i="4"/>
  <c r="B280" i="4"/>
  <c r="C280" i="4"/>
  <c r="D280" i="4"/>
  <c r="B281" i="4"/>
  <c r="C281" i="4"/>
  <c r="D281" i="4"/>
  <c r="B282" i="4"/>
  <c r="C282" i="4"/>
  <c r="D282" i="4"/>
  <c r="B283" i="4"/>
  <c r="C283" i="4"/>
  <c r="D283" i="4"/>
  <c r="B284" i="4"/>
  <c r="C284" i="4"/>
  <c r="D284" i="4"/>
  <c r="B285" i="4"/>
  <c r="C285" i="4"/>
  <c r="D285" i="4"/>
  <c r="B286" i="4"/>
  <c r="C286" i="4"/>
  <c r="D286" i="4"/>
  <c r="B287" i="4"/>
  <c r="C287" i="4"/>
  <c r="D287" i="4"/>
  <c r="B288" i="4"/>
  <c r="C288" i="4"/>
  <c r="D288" i="4"/>
  <c r="B289" i="4"/>
  <c r="C289" i="4"/>
  <c r="D289" i="4"/>
  <c r="B290" i="4"/>
  <c r="C290" i="4"/>
  <c r="D290" i="4"/>
  <c r="B291" i="4"/>
  <c r="C291" i="4"/>
  <c r="D291" i="4"/>
  <c r="B292" i="4"/>
  <c r="C292" i="4"/>
  <c r="D292" i="4"/>
  <c r="B293" i="4"/>
  <c r="C293" i="4"/>
  <c r="D293" i="4"/>
  <c r="B294" i="4"/>
  <c r="C294" i="4"/>
  <c r="D294" i="4"/>
  <c r="B295" i="4"/>
  <c r="C295" i="4"/>
  <c r="D295" i="4"/>
  <c r="B296" i="4"/>
  <c r="C296" i="4"/>
  <c r="D296" i="4"/>
  <c r="B297" i="4"/>
  <c r="C297" i="4"/>
  <c r="D297" i="4"/>
  <c r="B298" i="4"/>
  <c r="C298" i="4"/>
  <c r="D298" i="4"/>
  <c r="B299" i="4"/>
  <c r="C299" i="4"/>
  <c r="D299" i="4"/>
  <c r="B300" i="4"/>
  <c r="C300" i="4"/>
  <c r="D300" i="4"/>
  <c r="B301" i="4"/>
  <c r="C301" i="4"/>
  <c r="D301" i="4"/>
  <c r="B302" i="4"/>
  <c r="C302" i="4"/>
  <c r="D302" i="4"/>
  <c r="B303" i="4"/>
  <c r="C303" i="4"/>
  <c r="D303" i="4"/>
  <c r="B304" i="4"/>
  <c r="C304" i="4"/>
  <c r="D304" i="4"/>
  <c r="B305" i="4"/>
  <c r="C305" i="4"/>
  <c r="D305" i="4"/>
  <c r="B306" i="4"/>
  <c r="C306" i="4"/>
  <c r="D306" i="4"/>
  <c r="B307" i="4"/>
  <c r="C307" i="4"/>
  <c r="D307" i="4"/>
  <c r="B308" i="4"/>
  <c r="C308" i="4"/>
  <c r="D308" i="4"/>
  <c r="B309" i="4"/>
  <c r="C309" i="4"/>
  <c r="D309" i="4"/>
  <c r="B310" i="4"/>
  <c r="C310" i="4"/>
  <c r="D310" i="4"/>
  <c r="B311" i="4"/>
  <c r="C311" i="4"/>
  <c r="D311" i="4"/>
  <c r="B312" i="4"/>
  <c r="C312" i="4"/>
  <c r="D312" i="4"/>
  <c r="B313" i="4"/>
  <c r="C313" i="4"/>
  <c r="D313" i="4"/>
  <c r="B314" i="4"/>
  <c r="C314" i="4"/>
  <c r="D314" i="4"/>
  <c r="B315" i="4"/>
  <c r="C315" i="4"/>
  <c r="D315" i="4"/>
  <c r="B316" i="4"/>
  <c r="C316" i="4"/>
  <c r="D316" i="4"/>
  <c r="B317" i="4"/>
  <c r="C317" i="4"/>
  <c r="D317" i="4"/>
  <c r="B318" i="4"/>
  <c r="C318" i="4"/>
  <c r="D318" i="4"/>
  <c r="B319" i="4"/>
  <c r="C319" i="4"/>
  <c r="D319" i="4"/>
  <c r="B320" i="4"/>
  <c r="C320" i="4"/>
  <c r="D320" i="4"/>
  <c r="B321" i="4"/>
  <c r="C321" i="4"/>
  <c r="D321" i="4"/>
  <c r="B322" i="4"/>
  <c r="C322" i="4"/>
  <c r="D322" i="4"/>
  <c r="B323" i="4"/>
  <c r="C323" i="4"/>
  <c r="D323" i="4"/>
  <c r="B324" i="4"/>
  <c r="C324" i="4"/>
  <c r="D324" i="4"/>
  <c r="B325" i="4"/>
  <c r="C325" i="4"/>
  <c r="D325" i="4"/>
  <c r="B326" i="4"/>
  <c r="C326" i="4"/>
  <c r="D326" i="4"/>
  <c r="B327" i="4"/>
  <c r="C327" i="4"/>
  <c r="D327" i="4"/>
  <c r="B328" i="4"/>
  <c r="C328" i="4"/>
  <c r="D328" i="4"/>
  <c r="B329" i="4"/>
  <c r="C329" i="4"/>
  <c r="D329" i="4"/>
  <c r="B330" i="4"/>
  <c r="C330" i="4"/>
  <c r="D330" i="4"/>
  <c r="B331" i="4"/>
  <c r="C331" i="4"/>
  <c r="D331" i="4"/>
  <c r="B332" i="4"/>
  <c r="C332" i="4"/>
  <c r="D332" i="4"/>
  <c r="B333" i="4"/>
  <c r="C333" i="4"/>
  <c r="D333" i="4"/>
  <c r="B334" i="4"/>
  <c r="C334" i="4"/>
  <c r="D334" i="4"/>
  <c r="B335" i="4"/>
  <c r="C335" i="4"/>
  <c r="D335" i="4"/>
  <c r="B336" i="4"/>
  <c r="C336" i="4"/>
  <c r="D336" i="4"/>
  <c r="B337" i="4"/>
  <c r="C337" i="4"/>
  <c r="D337" i="4"/>
  <c r="B338" i="4"/>
  <c r="C338" i="4"/>
  <c r="D338" i="4"/>
  <c r="B339" i="4"/>
  <c r="C339" i="4"/>
  <c r="D339" i="4"/>
  <c r="B340" i="4"/>
  <c r="C340" i="4"/>
  <c r="D340" i="4"/>
  <c r="B341" i="4"/>
  <c r="C341" i="4"/>
  <c r="D341" i="4"/>
  <c r="B342" i="4"/>
  <c r="C342" i="4"/>
  <c r="D342" i="4"/>
  <c r="B343" i="4"/>
  <c r="C343" i="4"/>
  <c r="D343" i="4"/>
  <c r="B344" i="4"/>
  <c r="C344" i="4"/>
  <c r="D344" i="4"/>
  <c r="B345" i="4"/>
  <c r="C345" i="4"/>
  <c r="D345" i="4"/>
  <c r="B346" i="4"/>
  <c r="C346" i="4"/>
  <c r="D346" i="4"/>
  <c r="B347" i="4"/>
  <c r="C347" i="4"/>
  <c r="D347" i="4"/>
  <c r="B348" i="4"/>
  <c r="C348" i="4"/>
  <c r="D348" i="4"/>
  <c r="B349" i="4"/>
  <c r="C349" i="4"/>
  <c r="D349" i="4"/>
  <c r="B350" i="4"/>
  <c r="C350" i="4"/>
  <c r="D350" i="4"/>
  <c r="B351" i="4"/>
  <c r="C351" i="4"/>
  <c r="D351" i="4"/>
  <c r="B352" i="4"/>
  <c r="C352" i="4"/>
  <c r="D352" i="4"/>
  <c r="B353" i="4"/>
  <c r="C353" i="4"/>
  <c r="D353" i="4"/>
  <c r="B354" i="4"/>
  <c r="C354" i="4"/>
  <c r="D354" i="4"/>
  <c r="B355" i="4"/>
  <c r="C355" i="4"/>
  <c r="D355" i="4"/>
  <c r="B356" i="4"/>
  <c r="C356" i="4"/>
  <c r="D356" i="4"/>
  <c r="B357" i="4"/>
  <c r="C357" i="4"/>
  <c r="D357" i="4"/>
  <c r="B358" i="4"/>
  <c r="C358" i="4"/>
  <c r="D358" i="4"/>
  <c r="B359" i="4"/>
  <c r="C359" i="4"/>
  <c r="D359" i="4"/>
  <c r="B360" i="4"/>
  <c r="C360" i="4"/>
  <c r="D360" i="4"/>
  <c r="B361" i="4"/>
  <c r="C361" i="4"/>
  <c r="D361" i="4"/>
  <c r="B362" i="4"/>
  <c r="C362" i="4"/>
  <c r="D362" i="4"/>
  <c r="B363" i="4"/>
  <c r="C363" i="4"/>
  <c r="D363" i="4"/>
  <c r="B364" i="4"/>
  <c r="C364" i="4"/>
  <c r="D364" i="4"/>
  <c r="B365" i="4"/>
  <c r="C365" i="4"/>
  <c r="D365" i="4"/>
  <c r="B366" i="4"/>
  <c r="C366" i="4"/>
  <c r="D366" i="4"/>
  <c r="B367" i="4"/>
  <c r="C367" i="4"/>
  <c r="D367" i="4"/>
  <c r="B368" i="4"/>
  <c r="C368" i="4"/>
  <c r="D368" i="4"/>
  <c r="B369" i="4"/>
  <c r="C369" i="4"/>
  <c r="D369" i="4"/>
  <c r="B370" i="4"/>
  <c r="C370" i="4"/>
  <c r="D370" i="4"/>
  <c r="B371" i="4"/>
  <c r="C371" i="4"/>
  <c r="D371" i="4"/>
  <c r="B372" i="4"/>
  <c r="C372" i="4"/>
  <c r="D372" i="4"/>
  <c r="B373" i="4"/>
  <c r="C373" i="4"/>
  <c r="D373" i="4"/>
  <c r="B374" i="4"/>
  <c r="C374" i="4"/>
  <c r="D374" i="4"/>
  <c r="B375" i="4"/>
  <c r="C375" i="4"/>
  <c r="D375" i="4"/>
  <c r="B376" i="4"/>
  <c r="C376" i="4"/>
  <c r="D376" i="4"/>
  <c r="B377" i="4"/>
  <c r="C377" i="4"/>
  <c r="D377" i="4"/>
  <c r="B378" i="4"/>
  <c r="C378" i="4"/>
  <c r="D378" i="4"/>
  <c r="E12" i="4"/>
  <c r="K4" i="3"/>
  <c r="K10" i="3"/>
  <c r="K11" i="3"/>
  <c r="K12" i="3"/>
  <c r="K13" i="3"/>
  <c r="K14" i="3"/>
  <c r="K15" i="3"/>
  <c r="K16" i="3"/>
  <c r="K17" i="3"/>
  <c r="K18" i="3"/>
  <c r="K21" i="3"/>
  <c r="K22" i="3"/>
  <c r="K23" i="3"/>
  <c r="K24" i="3"/>
  <c r="K25" i="3"/>
  <c r="K26" i="3"/>
  <c r="K27" i="3"/>
  <c r="K28" i="3"/>
  <c r="K29" i="3"/>
  <c r="K32" i="3"/>
  <c r="C30" i="3"/>
  <c r="J4" i="3"/>
  <c r="H4" i="3"/>
  <c r="F4" i="3"/>
  <c r="C4" i="3"/>
  <c r="K8" i="2"/>
  <c r="K9" i="2"/>
  <c r="K10" i="2"/>
  <c r="K11" i="2"/>
  <c r="K12" i="2"/>
  <c r="K13" i="2"/>
  <c r="K14" i="2"/>
  <c r="K15" i="2"/>
  <c r="K16" i="2"/>
  <c r="K19" i="2"/>
  <c r="K20" i="2"/>
  <c r="K21" i="2"/>
  <c r="K22" i="2"/>
  <c r="K23" i="2"/>
  <c r="K24" i="2"/>
  <c r="K25" i="2"/>
  <c r="K26" i="2"/>
  <c r="K27" i="2"/>
  <c r="K30" i="2"/>
  <c r="C28" i="2"/>
  <c r="G16" i="1"/>
  <c r="G17" i="1"/>
  <c r="F19" i="1"/>
  <c r="G20" i="1"/>
  <c r="F33" i="1"/>
  <c r="G3" i="1"/>
  <c r="K23" i="1"/>
  <c r="K24" i="1"/>
  <c r="K25" i="1"/>
  <c r="K26" i="1"/>
  <c r="K27" i="1"/>
  <c r="K28" i="1"/>
  <c r="K29" i="1"/>
  <c r="K30" i="1"/>
  <c r="K31" i="1"/>
  <c r="J7" i="1"/>
  <c r="J9" i="1"/>
  <c r="E36" i="1"/>
  <c r="F36" i="1"/>
  <c r="G2" i="1"/>
  <c r="J23" i="1"/>
  <c r="J24" i="1"/>
  <c r="J25" i="1"/>
  <c r="J26" i="1"/>
  <c r="J27" i="1"/>
  <c r="J28" i="1"/>
  <c r="J29" i="1"/>
  <c r="J30" i="1"/>
  <c r="J31" i="1"/>
  <c r="K33" i="1"/>
  <c r="E35" i="1"/>
  <c r="F35" i="1"/>
  <c r="K34" i="1"/>
  <c r="J34" i="1"/>
  <c r="K32" i="1"/>
  <c r="J32" i="1"/>
  <c r="F20" i="1"/>
  <c r="A20" i="1"/>
  <c r="A19" i="1"/>
  <c r="F18" i="1"/>
  <c r="A18" i="1"/>
  <c r="F17" i="1"/>
  <c r="A17" i="1"/>
  <c r="F16" i="1"/>
  <c r="A16" i="1"/>
  <c r="L4" i="1"/>
</calcChain>
</file>

<file path=xl/sharedStrings.xml><?xml version="1.0" encoding="utf-8"?>
<sst xmlns="http://schemas.openxmlformats.org/spreadsheetml/2006/main" count="204" uniqueCount="114">
  <si>
    <t>Updated on 19-Mar-2015</t>
  </si>
  <si>
    <t>Application</t>
  </si>
  <si>
    <t>Loan Amount:</t>
  </si>
  <si>
    <t>Monthly repayment:</t>
  </si>
  <si>
    <t>Drawdown Date:</t>
  </si>
  <si>
    <t>HKD</t>
  </si>
  <si>
    <t>Y</t>
  </si>
  <si>
    <t>Loan Tenure:</t>
  </si>
  <si>
    <t>Monthly</t>
  </si>
  <si>
    <t>Stress test(+2%):</t>
  </si>
  <si>
    <t>Submit Date:</t>
  </si>
  <si>
    <t>FCY</t>
  </si>
  <si>
    <t>N</t>
  </si>
  <si>
    <t>Interest Rate:</t>
  </si>
  <si>
    <t>days</t>
  </si>
  <si>
    <t>Others</t>
  </si>
  <si>
    <t>Income</t>
  </si>
  <si>
    <t>Debts</t>
  </si>
  <si>
    <t>Applicant 1</t>
  </si>
  <si>
    <t>Used Credit Card:</t>
  </si>
  <si>
    <t>Fortnightly</t>
  </si>
  <si>
    <t xml:space="preserve"> @4%</t>
  </si>
  <si>
    <t>Interest Only</t>
  </si>
  <si>
    <t>Applicant 2</t>
  </si>
  <si>
    <t>Used Revolving:</t>
  </si>
  <si>
    <t>Other HML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</si>
  <si>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</si>
  <si>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Applicant 3</t>
  </si>
  <si>
    <t>Others:</t>
  </si>
  <si>
    <t>Rental Income with T/A</t>
  </si>
  <si>
    <t>Rental income (Market Rental)</t>
  </si>
  <si>
    <t>A/C Details</t>
  </si>
  <si>
    <t>A/C Type</t>
  </si>
  <si>
    <t>3 month Avg (if any)</t>
  </si>
  <si>
    <t>Discount ratio</t>
  </si>
  <si>
    <t>Monthly Income</t>
  </si>
  <si>
    <t xml:space="preserve"> &lt;- Unhide for Investment income</t>
  </si>
  <si>
    <t>Loan Amount</t>
  </si>
  <si>
    <t>Repayment Method</t>
  </si>
  <si>
    <t>Tenure</t>
  </si>
  <si>
    <t>Interest Rate</t>
  </si>
  <si>
    <t>Monthly Repayment</t>
  </si>
  <si>
    <t>Stress Test</t>
  </si>
  <si>
    <t>.</t>
  </si>
  <si>
    <t>Total household income:</t>
  </si>
  <si>
    <t>Total Debts:</t>
  </si>
  <si>
    <t>DTI :</t>
  </si>
  <si>
    <t>Stress DTI :</t>
  </si>
  <si>
    <t>Property Purchase price /
Loan amount (For refinance):</t>
  </si>
  <si>
    <t>Total outstanding loan:</t>
  </si>
  <si>
    <t>Total Credit Card limit:</t>
  </si>
  <si>
    <t>Total OD / RCF limit:</t>
  </si>
  <si>
    <t>Asset Based Lending</t>
  </si>
  <si>
    <t>Mortgage outstanding</t>
  </si>
  <si>
    <t>Property Valution</t>
  </si>
  <si>
    <t>Share of Ownership</t>
  </si>
  <si>
    <t>Asset Value</t>
  </si>
  <si>
    <t>Property 1</t>
  </si>
  <si>
    <t>Property 2</t>
  </si>
  <si>
    <t>Property 3</t>
  </si>
  <si>
    <t>Property 4</t>
  </si>
  <si>
    <t>Property 5</t>
  </si>
  <si>
    <t>Property 6</t>
  </si>
  <si>
    <t>Property 7</t>
  </si>
  <si>
    <t>Property 8</t>
  </si>
  <si>
    <t>Total :</t>
  </si>
  <si>
    <t xml:space="preserve">Latest month </t>
  </si>
  <si>
    <t>Share of ownership</t>
  </si>
  <si>
    <t>Account 1</t>
  </si>
  <si>
    <t>Account 2</t>
  </si>
  <si>
    <t>Account 3</t>
  </si>
  <si>
    <t>Account 4</t>
  </si>
  <si>
    <t>Account 5</t>
  </si>
  <si>
    <t>Account 6</t>
  </si>
  <si>
    <t>Account 7</t>
  </si>
  <si>
    <t>Account 8</t>
  </si>
  <si>
    <t>Total:</t>
  </si>
  <si>
    <t>Total Net Asset Value:</t>
  </si>
  <si>
    <t>Top-up</t>
  </si>
  <si>
    <t>Please Select</t>
  </si>
  <si>
    <t>New Purchase</t>
  </si>
  <si>
    <t>Other Mortgage Loan:</t>
  </si>
  <si>
    <t>Refinance</t>
  </si>
  <si>
    <t>Credit Card limit:</t>
  </si>
  <si>
    <t>OD / RCF limit:</t>
  </si>
  <si>
    <t>EQL</t>
  </si>
  <si>
    <t>HOME MORTGAGE LOAN - PAYMENT ON PRINCIPAL &amp; INTEREST</t>
  </si>
  <si>
    <r>
      <rPr>
        <sz val="10"/>
        <color theme="1"/>
        <rFont val="MingLiu"/>
      </rPr>
      <t>住宅樓宇貸款</t>
    </r>
    <r>
      <rPr>
        <sz val="11"/>
        <color rgb="FF000000"/>
        <rFont val="新細明體"/>
      </rPr>
      <t xml:space="preserve"> - </t>
    </r>
    <r>
      <rPr>
        <sz val="10"/>
        <color theme="1"/>
        <rFont val="細明體"/>
      </rPr>
      <t>本金及利息還款資料</t>
    </r>
  </si>
  <si>
    <t>Repayment Scheme - STRAIGHT LINE (For indication only)</t>
  </si>
  <si>
    <r>
      <rPr>
        <sz val="10"/>
        <color theme="1"/>
        <rFont val="MingLiu"/>
      </rPr>
      <t>還款方式</t>
    </r>
    <r>
      <rPr>
        <sz val="11"/>
        <color rgb="FF000000"/>
        <rFont val="新細明體"/>
      </rPr>
      <t xml:space="preserve"> - </t>
    </r>
    <r>
      <rPr>
        <sz val="10"/>
        <color theme="1"/>
        <rFont val="細明體"/>
      </rPr>
      <t>定額供款</t>
    </r>
    <r>
      <rPr>
        <sz val="11"/>
        <color rgb="FF000000"/>
        <rFont val="新細明體"/>
      </rPr>
      <t>(</t>
    </r>
    <r>
      <rPr>
        <sz val="10"/>
        <color theme="1"/>
        <rFont val="細明體"/>
      </rPr>
      <t>資料謹供參考</t>
    </r>
    <r>
      <rPr>
        <sz val="11"/>
        <color rgb="FF000000"/>
        <rFont val="新細明體"/>
      </rPr>
      <t>)</t>
    </r>
  </si>
  <si>
    <r>
      <rPr>
        <sz val="11"/>
        <color rgb="FF000000"/>
        <rFont val="PMingLiu"/>
      </rPr>
      <t xml:space="preserve">Loan Amount </t>
    </r>
    <r>
      <rPr>
        <sz val="10"/>
        <color rgb="FF000000"/>
        <rFont val="細明體"/>
      </rPr>
      <t>貸款額</t>
    </r>
    <r>
      <rPr>
        <sz val="11"/>
        <color rgb="FF000000"/>
        <rFont val="新細明體"/>
      </rPr>
      <t>:</t>
    </r>
  </si>
  <si>
    <r>
      <rPr>
        <sz val="11"/>
        <color rgb="FF000000"/>
        <rFont val="PMingLiu"/>
      </rPr>
      <t xml:space="preserve">Annual Interest Rate </t>
    </r>
    <r>
      <rPr>
        <sz val="10"/>
        <color rgb="FF000000"/>
        <rFont val="細明體"/>
      </rPr>
      <t>年利率</t>
    </r>
    <r>
      <rPr>
        <sz val="11"/>
        <color rgb="FF000000"/>
        <rFont val="新細明體"/>
      </rPr>
      <t>:</t>
    </r>
  </si>
  <si>
    <r>
      <rPr>
        <sz val="11"/>
        <color rgb="FF000000"/>
        <rFont val="PMingLiu"/>
      </rPr>
      <t xml:space="preserve">Number of Repayments </t>
    </r>
    <r>
      <rPr>
        <sz val="10"/>
        <color rgb="FF000000"/>
        <rFont val="細明體"/>
      </rPr>
      <t>供款期數</t>
    </r>
    <r>
      <rPr>
        <sz val="11"/>
        <color rgb="FF000000"/>
        <rFont val="新細明體"/>
      </rPr>
      <t>:</t>
    </r>
  </si>
  <si>
    <r>
      <rPr>
        <sz val="11"/>
        <color rgb="FF000000"/>
        <rFont val="PMingLiu"/>
      </rPr>
      <t xml:space="preserve">Monthly Repayment </t>
    </r>
    <r>
      <rPr>
        <sz val="10"/>
        <color rgb="FF000000"/>
        <rFont val="細明體"/>
      </rPr>
      <t>每月供款額</t>
    </r>
    <r>
      <rPr>
        <sz val="11"/>
        <color rgb="FF000000"/>
        <rFont val="新細明體"/>
      </rPr>
      <t>:</t>
    </r>
  </si>
  <si>
    <r>
      <rPr>
        <sz val="11"/>
        <color rgb="FF000000"/>
        <rFont val="PMingLiu"/>
      </rPr>
      <t xml:space="preserve">Total Int </t>
    </r>
    <r>
      <rPr>
        <sz val="10"/>
        <color rgb="FF000000"/>
        <rFont val="細明體"/>
      </rPr>
      <t>利息總數</t>
    </r>
    <r>
      <rPr>
        <sz val="11"/>
        <color rgb="FF000000"/>
        <rFont val="新細明體"/>
      </rPr>
      <t>:</t>
    </r>
  </si>
  <si>
    <r>
      <rPr>
        <sz val="11"/>
        <color rgb="FF000000"/>
        <rFont val="PMingLiu"/>
      </rPr>
      <t xml:space="preserve">Last Repayment </t>
    </r>
    <r>
      <rPr>
        <sz val="10"/>
        <color rgb="FF000000"/>
        <rFont val="細明體"/>
      </rPr>
      <t>末期供款額</t>
    </r>
    <r>
      <rPr>
        <sz val="11"/>
        <color rgb="FF000000"/>
        <rFont val="新細明體"/>
      </rPr>
      <t>:</t>
    </r>
  </si>
  <si>
    <t>Number of</t>
  </si>
  <si>
    <t>Payment on</t>
  </si>
  <si>
    <t>Outstanding</t>
  </si>
  <si>
    <t>Repayment</t>
  </si>
  <si>
    <t xml:space="preserve">     Interest</t>
  </si>
  <si>
    <t xml:space="preserve">     Principal</t>
  </si>
  <si>
    <t xml:space="preserve">       Principal</t>
  </si>
  <si>
    <r>
      <rPr>
        <sz val="11"/>
        <color rgb="FF000000"/>
        <rFont val="PMingLiu"/>
      </rPr>
      <t xml:space="preserve"> </t>
    </r>
    <r>
      <rPr>
        <sz val="10"/>
        <color rgb="FF000000"/>
        <rFont val="細明體"/>
      </rPr>
      <t>供款期數</t>
    </r>
  </si>
  <si>
    <t>利息供款額</t>
  </si>
  <si>
    <t>本金供款額</t>
  </si>
  <si>
    <t>本金餘額</t>
  </si>
  <si>
    <t>-</t>
  </si>
  <si>
    <r>
      <rPr>
        <sz val="11"/>
        <color rgb="FF000000"/>
        <rFont val="PMingLiu"/>
      </rPr>
      <t>Fortnightly Repayment 兩</t>
    </r>
    <r>
      <rPr>
        <sz val="10"/>
        <color rgb="FF000000"/>
        <rFont val="細明體"/>
      </rPr>
      <t>星期供款額</t>
    </r>
    <r>
      <rPr>
        <sz val="11"/>
        <color rgb="FF000000"/>
        <rFont val="新細明體"/>
      </rPr>
      <t>:</t>
    </r>
  </si>
  <si>
    <t>Repayment Scheme -Reducing Balance (For indication only)</t>
  </si>
  <si>
    <r>
      <rPr>
        <sz val="10"/>
        <color theme="1"/>
        <rFont val="MingLiu"/>
      </rPr>
      <t>還款方式</t>
    </r>
    <r>
      <rPr>
        <sz val="11"/>
        <color rgb="FF000000"/>
        <rFont val="新細明體"/>
      </rPr>
      <t xml:space="preserve"> - </t>
    </r>
    <r>
      <rPr>
        <sz val="10"/>
        <color rgb="FF000000"/>
        <rFont val="細明體"/>
      </rPr>
      <t>遞減</t>
    </r>
    <r>
      <rPr>
        <sz val="10"/>
        <color theme="1"/>
        <rFont val="細明體"/>
      </rPr>
      <t>供款</t>
    </r>
    <r>
      <rPr>
        <sz val="11"/>
        <color rgb="FF000000"/>
        <rFont val="新細明體"/>
      </rPr>
      <t>(</t>
    </r>
    <r>
      <rPr>
        <sz val="10"/>
        <color theme="1"/>
        <rFont val="細明體"/>
      </rPr>
      <t>資料謹供參考</t>
    </r>
    <r>
      <rPr>
        <sz val="11"/>
        <color rgb="FF000000"/>
        <rFont val="新細明體"/>
      </rPr>
      <t>)</t>
    </r>
  </si>
  <si>
    <r>
      <rPr>
        <sz val="11"/>
        <color rgb="FF000000"/>
        <rFont val="PMingLiu"/>
      </rPr>
      <t xml:space="preserve">1st Monthly Repayment </t>
    </r>
    <r>
      <rPr>
        <sz val="10"/>
        <color rgb="FF000000"/>
        <rFont val="細明體"/>
      </rPr>
      <t>首</t>
    </r>
    <r>
      <rPr>
        <sz val="10"/>
        <color rgb="FF000000"/>
        <rFont val="細明體"/>
      </rPr>
      <t>月供款額</t>
    </r>
    <r>
      <rPr>
        <sz val="11"/>
        <color rgb="FF000000"/>
        <rFont val="新細明體"/>
      </rPr>
      <t>:</t>
    </r>
  </si>
  <si>
    <t>H</t>
  </si>
  <si>
    <t>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</si>
</sst>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&quot;$&quot;#,##0"/>
    <numFmt numFmtId="177" formatCode="[$$-1004]#,##0.00;[Red][$$-1004]#,##0.00"/>
    <numFmt numFmtId="178" formatCode="[$$-1004]#,##0"/>
    <numFmt numFmtId="179" formatCode="_-&quot;$&quot;* #,##0_-;\-&quot;$&quot;* #,##0_-;_-&quot;$&quot;* &quot;-&quot;_-;_-@"/>
    <numFmt numFmtId="180" formatCode="[$$-1004]#,##0.00"/>
    <numFmt numFmtId="181" formatCode="&quot;HK$&quot;#,##0.00"/>
    <numFmt numFmtId="182" formatCode="_-&quot;$&quot;* #,##0_-;\-&quot;$&quot;* #,##0_-;_-&quot;$&quot;* &quot;-&quot;??_-;_-@"/>
    <numFmt numFmtId="183" formatCode="_-&quot;$&quot;* #,##0.00_-;\-&quot;$&quot;* #,##0.00_-;_-&quot;$&quot;* &quot;-&quot;??_-;_-@"/>
    <numFmt numFmtId="184" formatCode="\(#,##0\)"/>
    <numFmt numFmtId="185" formatCode="&quot;$&quot;#,##0.00_);[Red]\(&quot;$&quot;#,##0.00\)"/>
    <numFmt numFmtId="186" formatCode="&quot;$&quot;#,##0.00;[Red]&quot;$&quot;#,##0.00"/>
    <numFmt numFmtId="187" formatCode="&quot;$&quot;#,##0.00"/>
  </numFmts>
  <fonts count="27" x14ac:knownFonts="1">
    <font>
      <sz val="11"/>
      <color rgb="FF000000"/>
      <name val="PMingLiu"/>
      <scheme val="minor"/>
    </font>
    <font>
      <sz val="11"/>
      <color rgb="FFFF0000"/>
      <name val="PMingLiu"/>
    </font>
    <font>
      <sz val="11"/>
      <color rgb="FF000000"/>
      <name val="PMingLiu"/>
    </font>
    <font>
      <b/>
      <sz val="20"/>
      <color rgb="FF000000"/>
      <name val="PMingLiu"/>
    </font>
    <font>
      <sz val="11"/>
      <color rgb="FF002060"/>
      <name val="PMingLiu"/>
    </font>
    <font>
      <b/>
      <sz val="18"/>
      <color rgb="FF000000"/>
      <name val="PMingLiu"/>
    </font>
    <font>
      <b/>
      <sz val="11"/>
      <color rgb="FF000000"/>
      <name val="PMingLiu"/>
    </font>
    <font>
      <b/>
      <sz val="11"/>
      <color theme="1"/>
      <name val="PMingLiu"/>
    </font>
    <font>
      <b/>
      <i/>
      <sz val="11"/>
      <color rgb="FF000000"/>
      <name val="PMingLiu"/>
    </font>
    <font>
      <sz val="14"/>
      <color rgb="FF000000"/>
      <name val="PMingLiu"/>
    </font>
    <font>
      <b/>
      <sz val="16"/>
      <color rgb="FF002060"/>
      <name val="PMingLiu"/>
    </font>
    <font>
      <b/>
      <sz val="16"/>
      <color rgb="FFFF0000"/>
      <name val="PMingLiu"/>
    </font>
    <font>
      <b/>
      <sz val="16"/>
      <color rgb="FFE606AB"/>
      <name val="PMingLiu"/>
    </font>
    <font>
      <b/>
      <sz val="14"/>
      <color rgb="FFFF0000"/>
      <name val="PMingLiu"/>
    </font>
    <font>
      <sz val="18"/>
      <color rgb="FF000000"/>
      <name val="PMingLiu"/>
    </font>
    <font>
      <b/>
      <sz val="18"/>
      <color rgb="FFFF0000"/>
      <name val="PMingLiu"/>
    </font>
    <font>
      <b/>
      <sz val="16"/>
      <color rgb="FF000000"/>
      <name val="PMingLiu"/>
    </font>
    <font>
      <sz val="11"/>
      <name val="PMingLiu"/>
    </font>
    <font>
      <sz val="16"/>
      <color rgb="FF000000"/>
      <name val="PMingLiu"/>
    </font>
    <font>
      <b/>
      <sz val="28"/>
      <color rgb="FFFF0000"/>
      <name val="PMingLiu"/>
    </font>
    <font>
      <sz val="24"/>
      <color rgb="FF000000"/>
      <name val="PMingLiu"/>
    </font>
    <font>
      <sz val="10"/>
      <color theme="1"/>
      <name val="MingLiu"/>
    </font>
    <font>
      <sz val="10"/>
      <color theme="1"/>
      <name val="Arial"/>
    </font>
    <font>
      <b/>
      <sz val="10"/>
      <color theme="1"/>
      <name val="MingLiu"/>
    </font>
    <font>
      <sz val="11"/>
      <color rgb="FF000000"/>
      <name val="新細明體"/>
    </font>
    <font>
      <sz val="10"/>
      <color theme="1"/>
      <name val="細明體"/>
    </font>
    <font>
      <sz val="10"/>
      <color rgb="FF000000"/>
      <name val="細明體"/>
    </font>
  </fonts>
  <fills count="7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C0C0C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shrinkToFit="1"/>
    </xf>
    <xf numFmtId="0" fontId="3" fillId="0" borderId="0" xfId="0" applyFont="1" applyAlignment="1">
      <alignment shrinkToFit="1"/>
    </xf>
    <xf numFmtId="0" fontId="2" fillId="0" borderId="0" xfId="0" applyFont="1" applyAlignment="1">
      <alignment horizontal="right" shrinkToFit="1"/>
    </xf>
    <xf numFmtId="0" fontId="2" fillId="0" borderId="0" xfId="0" applyFont="1" applyAlignment="1">
      <alignment horizontal="right"/>
    </xf>
    <xf numFmtId="176" fontId="4" fillId="2" borderId="1" xfId="0" applyNumberFormat="1" applyFont="1" applyFill="1" applyBorder="1" applyAlignment="1">
      <alignment horizontal="right" shrinkToFit="1"/>
    </xf>
    <xf numFmtId="177" fontId="1" fillId="0" borderId="0" xfId="0" applyNumberFormat="1" applyFont="1" applyAlignment="1">
      <alignment horizontal="right" shrinkToFit="1"/>
    </xf>
    <xf numFmtId="178" fontId="2" fillId="0" borderId="0" xfId="0" applyNumberFormat="1" applyFont="1" applyAlignment="1">
      <alignment shrinkToFit="1"/>
    </xf>
    <xf numFmtId="177" fontId="2" fillId="0" borderId="0" xfId="0" applyNumberFormat="1" applyFont="1" applyAlignment="1">
      <alignment horizontal="right" shrinkToFit="1"/>
    </xf>
    <xf numFmtId="16" fontId="2" fillId="2" borderId="1" xfId="0" applyNumberFormat="1" applyFont="1" applyFill="1" applyBorder="1" applyAlignment="1">
      <alignment shrinkToFit="1"/>
    </xf>
    <xf numFmtId="0" fontId="2" fillId="2" borderId="1" xfId="0" applyFont="1" applyFill="1" applyBorder="1" applyAlignment="1">
      <alignment shrinkToFit="1"/>
    </xf>
    <xf numFmtId="0" fontId="2" fillId="2" borderId="1" xfId="0" applyFont="1" applyFill="1" applyBorder="1" applyAlignment="1">
      <alignment shrinkToFit="1"/>
    </xf>
    <xf numFmtId="10" fontId="2" fillId="0" borderId="0" xfId="0" applyNumberFormat="1" applyFont="1" applyAlignment="1">
      <alignment shrinkToFit="1"/>
    </xf>
    <xf numFmtId="10" fontId="2" fillId="0" borderId="0" xfId="0" applyNumberFormat="1" applyFont="1" applyAlignment="1">
      <alignment shrinkToFit="1"/>
    </xf>
    <xf numFmtId="0" fontId="5" fillId="0" borderId="0" xfId="0" applyFont="1" applyAlignment="1">
      <alignment shrinkToFit="1"/>
    </xf>
    <xf numFmtId="176" fontId="4" fillId="2" borderId="1" xfId="0" applyNumberFormat="1" applyFont="1" applyFill="1" applyBorder="1" applyAlignment="1">
      <alignment horizontal="right" shrinkToFit="1"/>
    </xf>
    <xf numFmtId="179" fontId="2" fillId="2" borderId="1" xfId="0" applyNumberFormat="1" applyFont="1" applyFill="1" applyBorder="1" applyAlignment="1">
      <alignment horizontal="right" shrinkToFit="1"/>
    </xf>
    <xf numFmtId="180" fontId="1" fillId="0" borderId="0" xfId="0" applyNumberFormat="1" applyFont="1" applyAlignment="1">
      <alignment horizontal="right" shrinkToFit="1"/>
    </xf>
    <xf numFmtId="179" fontId="1" fillId="0" borderId="0" xfId="0" applyNumberFormat="1" applyFont="1" applyAlignment="1">
      <alignment horizontal="right" shrinkToFit="1"/>
    </xf>
    <xf numFmtId="180" fontId="1" fillId="0" borderId="0" xfId="0" applyNumberFormat="1" applyFont="1" applyAlignment="1">
      <alignment shrinkToFit="1"/>
    </xf>
    <xf numFmtId="179" fontId="2" fillId="0" borderId="0" xfId="0" applyNumberFormat="1" applyFont="1" applyAlignment="1">
      <alignment horizontal="right" shrinkToFit="1"/>
    </xf>
    <xf numFmtId="179" fontId="1" fillId="2" borderId="1" xfId="0" applyNumberFormat="1" applyFont="1" applyFill="1" applyBorder="1" applyAlignment="1">
      <alignment horizontal="right" shrinkToFit="1"/>
    </xf>
    <xf numFmtId="0" fontId="2" fillId="0" borderId="0" xfId="0" applyFont="1"/>
    <xf numFmtId="180" fontId="2" fillId="0" borderId="0" xfId="0" applyNumberFormat="1" applyFont="1" applyAlignment="1">
      <alignment horizontal="right" shrinkToFit="1"/>
    </xf>
    <xf numFmtId="179" fontId="2" fillId="0" borderId="0" xfId="0" applyNumberFormat="1" applyFont="1" applyAlignment="1">
      <alignment shrinkToFit="1"/>
    </xf>
    <xf numFmtId="180" fontId="2" fillId="0" borderId="0" xfId="0" applyNumberFormat="1" applyFont="1" applyAlignment="1">
      <alignment shrinkToFit="1"/>
    </xf>
    <xf numFmtId="179" fontId="1" fillId="2" borderId="1" xfId="0" applyNumberFormat="1" applyFont="1" applyFill="1" applyBorder="1" applyAlignment="1">
      <alignment horizontal="right" shrinkToFit="1"/>
    </xf>
    <xf numFmtId="0" fontId="6" fillId="0" borderId="0" xfId="0" applyFont="1" applyAlignment="1">
      <alignment horizontal="center" shrinkToFit="1"/>
    </xf>
    <xf numFmtId="0" fontId="6" fillId="0" borderId="0" xfId="0" applyFont="1" applyAlignment="1">
      <alignment horizontal="right" shrinkToFit="1"/>
    </xf>
    <xf numFmtId="181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shrinkToFit="1"/>
    </xf>
    <xf numFmtId="0" fontId="2" fillId="2" borderId="1" xfId="0" applyFont="1" applyFill="1" applyBorder="1" applyAlignment="1">
      <alignment horizontal="right" shrinkToFit="1"/>
    </xf>
    <xf numFmtId="182" fontId="2" fillId="2" borderId="1" xfId="0" applyNumberFormat="1" applyFont="1" applyFill="1" applyBorder="1" applyAlignment="1">
      <alignment horizontal="right" shrinkToFit="1"/>
    </xf>
    <xf numFmtId="0" fontId="8" fillId="0" borderId="0" xfId="0" applyFont="1"/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shrinkToFit="1"/>
    </xf>
    <xf numFmtId="0" fontId="2" fillId="0" borderId="0" xfId="0" applyFont="1" applyAlignment="1">
      <alignment shrinkToFit="1"/>
    </xf>
    <xf numFmtId="179" fontId="2" fillId="0" borderId="0" xfId="0" applyNumberFormat="1" applyFont="1" applyAlignment="1">
      <alignment horizontal="right" shrinkToFit="1"/>
    </xf>
    <xf numFmtId="0" fontId="9" fillId="0" borderId="0" xfId="0" applyFont="1" applyAlignment="1">
      <alignment horizontal="right"/>
    </xf>
    <xf numFmtId="179" fontId="10" fillId="0" borderId="0" xfId="0" applyNumberFormat="1" applyFont="1" applyAlignment="1">
      <alignment horizontal="right" shrinkToFit="1"/>
    </xf>
    <xf numFmtId="0" fontId="9" fillId="0" borderId="0" xfId="0" applyFont="1" applyAlignment="1">
      <alignment horizontal="right" shrinkToFit="1"/>
    </xf>
    <xf numFmtId="179" fontId="11" fillId="0" borderId="0" xfId="0" applyNumberFormat="1" applyFont="1" applyAlignment="1">
      <alignment horizontal="right" shrinkToFit="1"/>
    </xf>
    <xf numFmtId="184" fontId="12" fillId="0" borderId="0" xfId="0" applyNumberFormat="1" applyFont="1" applyAlignment="1">
      <alignment horizontal="left" shrinkToFit="1"/>
    </xf>
    <xf numFmtId="179" fontId="13" fillId="0" borderId="0" xfId="0" applyNumberFormat="1" applyFont="1" applyAlignment="1">
      <alignment horizontal="right" shrinkToFit="1"/>
    </xf>
    <xf numFmtId="0" fontId="5" fillId="0" borderId="0" xfId="0" applyFont="1" applyAlignment="1">
      <alignment horizontal="right" shrinkToFit="1"/>
    </xf>
    <xf numFmtId="10" fontId="14" fillId="0" borderId="0" xfId="0" applyNumberFormat="1" applyFont="1" applyAlignment="1">
      <alignment shrinkToFit="1"/>
    </xf>
    <xf numFmtId="0" fontId="15" fillId="0" borderId="0" xfId="0" applyFont="1" applyAlignment="1">
      <alignment shrinkToFit="1"/>
    </xf>
    <xf numFmtId="177" fontId="2" fillId="0" borderId="0" xfId="0" applyNumberFormat="1" applyFont="1" applyAlignment="1">
      <alignment shrinkToFit="1"/>
    </xf>
    <xf numFmtId="0" fontId="15" fillId="0" borderId="0" xfId="0" applyFont="1"/>
    <xf numFmtId="0" fontId="16" fillId="0" borderId="0" xfId="0" applyFont="1" applyAlignment="1">
      <alignment horizontal="right" wrapText="1"/>
    </xf>
    <xf numFmtId="0" fontId="18" fillId="0" borderId="0" xfId="0" applyFont="1"/>
    <xf numFmtId="0" fontId="16" fillId="0" borderId="0" xfId="0" applyFont="1" applyAlignment="1">
      <alignment horizontal="right"/>
    </xf>
    <xf numFmtId="0" fontId="6" fillId="4" borderId="1" xfId="0" applyFont="1" applyFill="1" applyBorder="1" applyAlignment="1">
      <alignment horizontal="right"/>
    </xf>
    <xf numFmtId="0" fontId="6" fillId="0" borderId="0" xfId="0" applyFont="1"/>
    <xf numFmtId="179" fontId="2" fillId="2" borderId="1" xfId="0" applyNumberFormat="1" applyFont="1" applyFill="1" applyBorder="1"/>
    <xf numFmtId="9" fontId="2" fillId="2" borderId="1" xfId="0" applyNumberFormat="1" applyFont="1" applyFill="1" applyBorder="1"/>
    <xf numFmtId="179" fontId="2" fillId="0" borderId="0" xfId="0" applyNumberFormat="1" applyFont="1"/>
    <xf numFmtId="180" fontId="2" fillId="2" borderId="1" xfId="0" applyNumberFormat="1" applyFont="1" applyFill="1" applyBorder="1"/>
    <xf numFmtId="180" fontId="2" fillId="0" borderId="0" xfId="0" applyNumberFormat="1" applyFont="1"/>
    <xf numFmtId="9" fontId="2" fillId="0" borderId="0" xfId="0" applyNumberFormat="1" applyFont="1"/>
    <xf numFmtId="0" fontId="16" fillId="0" borderId="0" xfId="0" applyFont="1" applyAlignment="1">
      <alignment wrapText="1"/>
    </xf>
    <xf numFmtId="179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 wrapText="1"/>
    </xf>
    <xf numFmtId="182" fontId="14" fillId="3" borderId="1" xfId="0" applyNumberFormat="1" applyFont="1" applyFill="1" applyBorder="1"/>
    <xf numFmtId="179" fontId="14" fillId="3" borderId="1" xfId="0" applyNumberFormat="1" applyFont="1" applyFill="1" applyBorder="1"/>
    <xf numFmtId="179" fontId="2" fillId="0" borderId="0" xfId="0" applyNumberFormat="1" applyFont="1" applyAlignment="1">
      <alignment horizontal="right"/>
    </xf>
    <xf numFmtId="0" fontId="2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185" fontId="22" fillId="6" borderId="1" xfId="0" applyNumberFormat="1" applyFont="1" applyFill="1" applyBorder="1" applyAlignment="1">
      <alignment vertical="center"/>
    </xf>
    <xf numFmtId="10" fontId="22" fillId="6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186" fontId="22" fillId="0" borderId="0" xfId="0" applyNumberFormat="1" applyFont="1" applyAlignment="1">
      <alignment vertical="center"/>
    </xf>
    <xf numFmtId="187" fontId="22" fillId="0" borderId="0" xfId="0" applyNumberFormat="1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85" fontId="2" fillId="0" borderId="0" xfId="0" applyNumberFormat="1" applyFont="1" applyAlignment="1">
      <alignment vertical="center"/>
    </xf>
    <xf numFmtId="185" fontId="22" fillId="6" borderId="1" xfId="0" applyNumberFormat="1" applyFont="1" applyFill="1" applyBorder="1" applyAlignment="1">
      <alignment vertical="center"/>
    </xf>
    <xf numFmtId="10" fontId="22" fillId="6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183" fontId="4" fillId="0" borderId="0" xfId="0" applyNumberFormat="1" applyFont="1" applyAlignment="1">
      <alignment shrinkToFit="1"/>
    </xf>
    <xf numFmtId="0" fontId="0" fillId="0" borderId="0" xfId="0" applyFont="1" applyAlignment="1"/>
    <xf numFmtId="0" fontId="6" fillId="0" borderId="0" xfId="0" applyFont="1" applyAlignment="1">
      <alignment horizontal="center"/>
    </xf>
    <xf numFmtId="181" fontId="7" fillId="0" borderId="0" xfId="0" applyNumberFormat="1" applyFont="1" applyAlignment="1">
      <alignment horizontal="right" shrinkToFit="1"/>
    </xf>
    <xf numFmtId="0" fontId="19" fillId="0" borderId="0" xfId="0" applyFont="1"/>
    <xf numFmtId="0" fontId="16" fillId="0" borderId="0" xfId="0" applyFont="1" applyAlignment="1">
      <alignment horizontal="right" wrapText="1"/>
    </xf>
    <xf numFmtId="179" fontId="14" fillId="3" borderId="2" xfId="0" applyNumberFormat="1" applyFont="1" applyFill="1" applyBorder="1"/>
    <xf numFmtId="0" fontId="17" fillId="0" borderId="3" xfId="0" applyFont="1" applyBorder="1"/>
    <xf numFmtId="0" fontId="17" fillId="0" borderId="4" xfId="0" applyFont="1" applyBorder="1"/>
    <xf numFmtId="179" fontId="2" fillId="2" borderId="5" xfId="0" applyNumberFormat="1" applyFont="1" applyFill="1" applyBorder="1"/>
    <xf numFmtId="0" fontId="17" fillId="0" borderId="6" xfId="0" applyFont="1" applyBorder="1"/>
    <xf numFmtId="179" fontId="20" fillId="5" borderId="2" xfId="0" applyNumberFormat="1" applyFont="1" applyFill="1" applyBorder="1" applyAlignment="1">
      <alignment horizontal="center" wrapText="1"/>
    </xf>
    <xf numFmtId="179" fontId="14" fillId="3" borderId="5" xfId="0" applyNumberFormat="1" applyFont="1" applyFill="1" applyBorder="1" applyAlignment="1">
      <alignment horizontal="center"/>
    </xf>
  </cellXfs>
  <cellStyles count="1">
    <cellStyle name="一般" xfId="0" builtinId="0"/>
  </cellStyles>
  <dxfs count="14">
    <dxf>
      <font>
        <color rgb="FFFF0000"/>
      </font>
      <fill>
        <patternFill patternType="none"/>
      </fill>
    </dxf>
    <dxf>
      <font>
        <color rgb="FFFFFFFF"/>
      </font>
      <fill>
        <patternFill patternType="none"/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657225</xdr:colOff>
      <xdr:row>55</xdr:row>
      <xdr:rowOff>123825</xdr:rowOff>
    </xdr:from>
    <xdr:ext cx="4200525" cy="5143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3250500" y="3527588"/>
          <a:ext cx="4191000" cy="504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2800"/>
            <a:buFont typeface="Arial"/>
            <a:buNone/>
          </a:pPr>
          <a:r>
            <a:rPr lang="en-US" sz="2800" b="1"/>
            <a:t>Excel input</a:t>
          </a:r>
          <a:endParaRPr sz="1400"/>
        </a:p>
      </xdr:txBody>
    </xdr:sp>
    <xdr:clientData fLocksWithSheet="0"/>
  </xdr:oneCellAnchor>
  <xdr:oneCellAnchor>
    <xdr:from>
      <xdr:col>4</xdr:col>
      <xdr:colOff>180975</xdr:colOff>
      <xdr:row>58</xdr:row>
      <xdr:rowOff>57150</xdr:rowOff>
    </xdr:from>
    <xdr:ext cx="1152525" cy="4857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4779263" y="3546638"/>
          <a:ext cx="1133475" cy="466725"/>
        </a:xfrm>
        <a:prstGeom prst="ellipse">
          <a:avLst/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</xdr:col>
      <xdr:colOff>695325</xdr:colOff>
      <xdr:row>56</xdr:row>
      <xdr:rowOff>152400</xdr:rowOff>
    </xdr:from>
    <xdr:ext cx="3667125" cy="8953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517200" y="3337088"/>
          <a:ext cx="3657600" cy="885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1. Input Purchase price for new purchase property OR loan amount for refinance case</a:t>
          </a:r>
          <a:endParaRPr sz="1400"/>
        </a:p>
      </xdr:txBody>
    </xdr:sp>
    <xdr:clientData fLocksWithSheet="0"/>
  </xdr:oneCellAnchor>
  <xdr:oneCellAnchor>
    <xdr:from>
      <xdr:col>4</xdr:col>
      <xdr:colOff>123825</xdr:colOff>
      <xdr:row>60</xdr:row>
      <xdr:rowOff>0</xdr:rowOff>
    </xdr:from>
    <xdr:ext cx="1257300" cy="11239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4726875" y="3227550"/>
          <a:ext cx="1238250" cy="1104900"/>
        </a:xfrm>
        <a:prstGeom prst="ellipse">
          <a:avLst/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771525</xdr:colOff>
      <xdr:row>62</xdr:row>
      <xdr:rowOff>123825</xdr:rowOff>
    </xdr:from>
    <xdr:ext cx="3590925" cy="3714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3555300" y="3599025"/>
          <a:ext cx="3581400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2. All the outstanding loans , limit</a:t>
          </a:r>
          <a:endParaRPr sz="1400"/>
        </a:p>
      </xdr:txBody>
    </xdr:sp>
    <xdr:clientData fLocksWithSheet="0"/>
  </xdr:oneCellAnchor>
  <xdr:oneCellAnchor>
    <xdr:from>
      <xdr:col>3</xdr:col>
      <xdr:colOff>161925</xdr:colOff>
      <xdr:row>70</xdr:row>
      <xdr:rowOff>19050</xdr:rowOff>
    </xdr:from>
    <xdr:ext cx="1200150" cy="2762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4745925" y="3641888"/>
          <a:ext cx="1200150" cy="276225"/>
          <a:chOff x="4745925" y="3641888"/>
          <a:chExt cx="1200150" cy="276225"/>
        </a:xfrm>
      </xdr:grpSpPr>
      <xdr:grpSp>
        <xdr:nvGrpSpPr>
          <xdr:cNvPr id="8" name="Shape 8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GrpSpPr/>
        </xdr:nvGrpSpPr>
        <xdr:grpSpPr>
          <a:xfrm>
            <a:off x="4745925" y="3641888"/>
            <a:ext cx="1200150" cy="276225"/>
            <a:chOff x="4750688" y="3646650"/>
            <a:chExt cx="1190625" cy="266700"/>
          </a:xfrm>
        </xdr:grpSpPr>
        <xdr:sp macro="" textlink="">
          <xdr:nvSpPr>
            <xdr:cNvPr id="9" name="Shape 9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/>
          </xdr:nvSpPr>
          <xdr:spPr>
            <a:xfrm>
              <a:off x="4750688" y="3646650"/>
              <a:ext cx="11906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" name="Shape 10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CxnSpPr/>
          </xdr:nvCxnSpPr>
          <xdr:spPr>
            <a:xfrm rot="10800000" flipH="1">
              <a:off x="4750688" y="3646650"/>
              <a:ext cx="1190625" cy="266700"/>
            </a:xfrm>
            <a:prstGeom prst="straightConnector1">
              <a:avLst/>
            </a:prstGeom>
            <a:noFill/>
            <a:ln w="9525" cap="flat" cmpd="sng">
              <a:solidFill>
                <a:srgbClr val="00B0F0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3</xdr:col>
      <xdr:colOff>161925</xdr:colOff>
      <xdr:row>73</xdr:row>
      <xdr:rowOff>47625</xdr:rowOff>
    </xdr:from>
    <xdr:ext cx="1276350" cy="31432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/>
      </xdr:nvGrpSpPr>
      <xdr:grpSpPr>
        <a:xfrm>
          <a:off x="4707825" y="3622838"/>
          <a:ext cx="1276350" cy="314325"/>
          <a:chOff x="4707825" y="3622838"/>
          <a:chExt cx="1276350" cy="31432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GrpSpPr/>
        </xdr:nvGrpSpPr>
        <xdr:grpSpPr>
          <a:xfrm>
            <a:off x="4707825" y="3622838"/>
            <a:ext cx="1276350" cy="314325"/>
            <a:chOff x="4712588" y="3627600"/>
            <a:chExt cx="1266825" cy="304800"/>
          </a:xfrm>
        </xdr:grpSpPr>
        <xdr:sp macro="" textlink="">
          <xdr:nvSpPr>
            <xdr:cNvPr id="13" name="Shape 9"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SpPr/>
          </xdr:nvSpPr>
          <xdr:spPr>
            <a:xfrm>
              <a:off x="4712588" y="3627600"/>
              <a:ext cx="1266825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4" name="Shape 12"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CxnSpPr/>
          </xdr:nvCxnSpPr>
          <xdr:spPr>
            <a:xfrm>
              <a:off x="4712588" y="3627600"/>
              <a:ext cx="1266825" cy="304800"/>
            </a:xfrm>
            <a:prstGeom prst="straightConnector1">
              <a:avLst/>
            </a:prstGeom>
            <a:noFill/>
            <a:ln w="9525" cap="flat" cmpd="sng">
              <a:solidFill>
                <a:srgbClr val="00B0F0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1</xdr:col>
      <xdr:colOff>1181100</xdr:colOff>
      <xdr:row>69</xdr:row>
      <xdr:rowOff>123825</xdr:rowOff>
    </xdr:from>
    <xdr:ext cx="2143125" cy="895350"/>
    <xdr:sp macro="" textlink="">
      <xdr:nvSpPr>
        <xdr:cNvPr id="15" name="Shape 13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4279200" y="3337088"/>
          <a:ext cx="2133600" cy="885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3. Asset belongs to applicant (Property, accounts)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68</xdr:row>
      <xdr:rowOff>0</xdr:rowOff>
    </xdr:from>
    <xdr:ext cx="3771900" cy="552450"/>
    <xdr:sp macro="" textlink="">
      <xdr:nvSpPr>
        <xdr:cNvPr id="16" name="Shape 14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>
          <a:off x="3469575" y="3513300"/>
          <a:ext cx="3752850" cy="533400"/>
        </a:xfrm>
        <a:prstGeom prst="ellipse">
          <a:avLst/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523875</xdr:colOff>
      <xdr:row>74</xdr:row>
      <xdr:rowOff>85725</xdr:rowOff>
    </xdr:from>
    <xdr:ext cx="3771900" cy="552450"/>
    <xdr:sp macro="" textlink="">
      <xdr:nvSpPr>
        <xdr:cNvPr id="17" name="Shape 14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3469575" y="3513300"/>
          <a:ext cx="3752850" cy="533400"/>
        </a:xfrm>
        <a:prstGeom prst="ellipse">
          <a:avLst/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361950</xdr:colOff>
      <xdr:row>58</xdr:row>
      <xdr:rowOff>180975</xdr:rowOff>
    </xdr:from>
    <xdr:ext cx="8448675" cy="4495800"/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657225</xdr:colOff>
      <xdr:row>57</xdr:row>
      <xdr:rowOff>123825</xdr:rowOff>
    </xdr:from>
    <xdr:ext cx="4200525" cy="5143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 txBox="1"/>
      </xdr:nvSpPr>
      <xdr:spPr>
        <a:xfrm>
          <a:off x="3250500" y="3527588"/>
          <a:ext cx="4191000" cy="504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2800"/>
            <a:buFont typeface="Arial"/>
            <a:buNone/>
          </a:pPr>
          <a:r>
            <a:rPr lang="en-US" sz="2800" b="1"/>
            <a:t>Excel input</a:t>
          </a:r>
          <a:endParaRPr sz="1400"/>
        </a:p>
      </xdr:txBody>
    </xdr:sp>
    <xdr:clientData fLocksWithSheet="0"/>
  </xdr:oneCellAnchor>
  <xdr:oneCellAnchor>
    <xdr:from>
      <xdr:col>4</xdr:col>
      <xdr:colOff>180975</xdr:colOff>
      <xdr:row>60</xdr:row>
      <xdr:rowOff>57150</xdr:rowOff>
    </xdr:from>
    <xdr:ext cx="1152525" cy="4857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779263" y="3546638"/>
          <a:ext cx="1133475" cy="466725"/>
        </a:xfrm>
        <a:prstGeom prst="ellipse">
          <a:avLst/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5</xdr:col>
      <xdr:colOff>695325</xdr:colOff>
      <xdr:row>58</xdr:row>
      <xdr:rowOff>152400</xdr:rowOff>
    </xdr:from>
    <xdr:ext cx="3943350" cy="89535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3379088" y="3337088"/>
          <a:ext cx="3933825" cy="885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1. Input Purchase price for new purchase property OR loan amount for refinance case</a:t>
          </a:r>
          <a:endParaRPr sz="1400"/>
        </a:p>
      </xdr:txBody>
    </xdr:sp>
    <xdr:clientData fLocksWithSheet="0"/>
  </xdr:oneCellAnchor>
  <xdr:oneCellAnchor>
    <xdr:from>
      <xdr:col>4</xdr:col>
      <xdr:colOff>123825</xdr:colOff>
      <xdr:row>62</xdr:row>
      <xdr:rowOff>0</xdr:rowOff>
    </xdr:from>
    <xdr:ext cx="1257300" cy="112395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4726875" y="3227550"/>
          <a:ext cx="1238250" cy="1104900"/>
        </a:xfrm>
        <a:prstGeom prst="ellipse">
          <a:avLst/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771525</xdr:colOff>
      <xdr:row>64</xdr:row>
      <xdr:rowOff>123825</xdr:rowOff>
    </xdr:from>
    <xdr:ext cx="3867150" cy="37147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3417188" y="3599025"/>
          <a:ext cx="3857625" cy="361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2. All the outstanding loans , limit</a:t>
          </a:r>
          <a:endParaRPr sz="1400"/>
        </a:p>
      </xdr:txBody>
    </xdr:sp>
    <xdr:clientData fLocksWithSheet="0"/>
  </xdr:oneCellAnchor>
  <xdr:oneCellAnchor>
    <xdr:from>
      <xdr:col>3</xdr:col>
      <xdr:colOff>161925</xdr:colOff>
      <xdr:row>72</xdr:row>
      <xdr:rowOff>19050</xdr:rowOff>
    </xdr:from>
    <xdr:ext cx="1200150" cy="2762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3277658" y="13180483"/>
          <a:ext cx="1200150" cy="276225"/>
          <a:chOff x="4745925" y="3641888"/>
          <a:chExt cx="1200150" cy="276225"/>
        </a:xfrm>
      </xdr:grpSpPr>
      <xdr:grpSp>
        <xdr:nvGrpSpPr>
          <xdr:cNvPr id="18" name="Shape 18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GrpSpPr/>
        </xdr:nvGrpSpPr>
        <xdr:grpSpPr>
          <a:xfrm>
            <a:off x="4745925" y="3641888"/>
            <a:ext cx="1200150" cy="276225"/>
            <a:chOff x="4750688" y="3646650"/>
            <a:chExt cx="1190625" cy="266700"/>
          </a:xfrm>
        </xdr:grpSpPr>
        <xdr:sp macro="" textlink="">
          <xdr:nvSpPr>
            <xdr:cNvPr id="9" name="Shape 9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SpPr/>
          </xdr:nvSpPr>
          <xdr:spPr>
            <a:xfrm>
              <a:off x="4750688" y="3646650"/>
              <a:ext cx="1190625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9" name="Shape 19">
              <a:extLst>
                <a:ext uri="{FF2B5EF4-FFF2-40B4-BE49-F238E27FC236}">
                  <a16:creationId xmlns:a16="http://schemas.microsoft.com/office/drawing/2014/main" id="{00000000-0008-0000-0200-000013000000}"/>
                </a:ext>
              </a:extLst>
            </xdr:cNvPr>
            <xdr:cNvCxnSpPr/>
          </xdr:nvCxnSpPr>
          <xdr:spPr>
            <a:xfrm rot="10800000" flipH="1">
              <a:off x="4750688" y="3646650"/>
              <a:ext cx="1190625" cy="266700"/>
            </a:xfrm>
            <a:prstGeom prst="straightConnector1">
              <a:avLst/>
            </a:prstGeom>
            <a:noFill/>
            <a:ln w="9525" cap="flat" cmpd="sng">
              <a:solidFill>
                <a:srgbClr val="00B0F0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3</xdr:col>
      <xdr:colOff>161925</xdr:colOff>
      <xdr:row>75</xdr:row>
      <xdr:rowOff>47625</xdr:rowOff>
    </xdr:from>
    <xdr:ext cx="1276350" cy="31432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pSpPr/>
      </xdr:nvGrpSpPr>
      <xdr:grpSpPr>
        <a:xfrm>
          <a:off x="3277658" y="13755158"/>
          <a:ext cx="1276350" cy="314325"/>
          <a:chOff x="4707825" y="3622838"/>
          <a:chExt cx="1276350" cy="314325"/>
        </a:xfrm>
      </xdr:grpSpPr>
      <xdr:grpSp>
        <xdr:nvGrpSpPr>
          <xdr:cNvPr id="20" name="Shape 20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GrpSpPr/>
        </xdr:nvGrpSpPr>
        <xdr:grpSpPr>
          <a:xfrm>
            <a:off x="4707825" y="3622838"/>
            <a:ext cx="1276350" cy="314325"/>
            <a:chOff x="4712588" y="3627600"/>
            <a:chExt cx="1266825" cy="304800"/>
          </a:xfrm>
        </xdr:grpSpPr>
        <xdr:sp macro="" textlink="">
          <xdr:nvSpPr>
            <xdr:cNvPr id="5" name="Shape 9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4712588" y="3627600"/>
              <a:ext cx="1266825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21" name="Shape 21">
              <a:extLst>
                <a:ext uri="{FF2B5EF4-FFF2-40B4-BE49-F238E27FC236}">
                  <a16:creationId xmlns:a16="http://schemas.microsoft.com/office/drawing/2014/main" id="{00000000-0008-0000-0200-000015000000}"/>
                </a:ext>
              </a:extLst>
            </xdr:cNvPr>
            <xdr:cNvCxnSpPr/>
          </xdr:nvCxnSpPr>
          <xdr:spPr>
            <a:xfrm>
              <a:off x="4712588" y="3627600"/>
              <a:ext cx="1266825" cy="304800"/>
            </a:xfrm>
            <a:prstGeom prst="straightConnector1">
              <a:avLst/>
            </a:prstGeom>
            <a:noFill/>
            <a:ln w="9525" cap="flat" cmpd="sng">
              <a:solidFill>
                <a:srgbClr val="00B0F0"/>
              </a:solidFill>
              <a:prstDash val="solid"/>
              <a:round/>
              <a:headEnd type="none" w="sm" len="sm"/>
              <a:tailEnd type="stealth" w="med" len="med"/>
            </a:ln>
          </xdr:spPr>
        </xdr:cxnSp>
      </xdr:grpSp>
    </xdr:grpSp>
    <xdr:clientData fLocksWithSheet="0"/>
  </xdr:oneCellAnchor>
  <xdr:oneCellAnchor>
    <xdr:from>
      <xdr:col>1</xdr:col>
      <xdr:colOff>1181100</xdr:colOff>
      <xdr:row>71</xdr:row>
      <xdr:rowOff>123825</xdr:rowOff>
    </xdr:from>
    <xdr:ext cx="2143125" cy="89535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 txBox="1"/>
      </xdr:nvSpPr>
      <xdr:spPr>
        <a:xfrm>
          <a:off x="4279200" y="3337088"/>
          <a:ext cx="2133600" cy="885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rPr lang="en-US" sz="1100"/>
            <a:t>3. Asset belongs to applicant (Property, accounts)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70</xdr:row>
      <xdr:rowOff>0</xdr:rowOff>
    </xdr:from>
    <xdr:ext cx="4038600" cy="55245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3336225" y="3513300"/>
          <a:ext cx="4019550" cy="533400"/>
        </a:xfrm>
        <a:prstGeom prst="ellipse">
          <a:avLst/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523875</xdr:colOff>
      <xdr:row>76</xdr:row>
      <xdr:rowOff>85725</xdr:rowOff>
    </xdr:from>
    <xdr:ext cx="4038600" cy="552450"/>
    <xdr:sp macro="" textlink="">
      <xdr:nvSpPr>
        <xdr:cNvPr id="7" name="Shape 23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3336225" y="3513300"/>
          <a:ext cx="4019550" cy="533400"/>
        </a:xfrm>
        <a:prstGeom prst="ellipse">
          <a:avLst/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361950</xdr:colOff>
      <xdr:row>60</xdr:row>
      <xdr:rowOff>180975</xdr:rowOff>
    </xdr:from>
    <xdr:ext cx="8439150" cy="4495800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00"/>
  <sheetViews>
    <sheetView tabSelected="1" workbookViewId="0">
      <selection activeCell="B7" sqref="B7"/>
    </sheetView>
  </sheetViews>
  <sheetFormatPr defaultColWidth="12.625" defaultRowHeight="15" customHeight="1" x14ac:dyDescent="0.15"/>
  <cols>
    <col min="1" max="1" width="10.16015625" customWidth="1"/>
    <col min="2" max="2" width="19.73828125" customWidth="1"/>
    <col min="3" max="3" width="10.3046875" customWidth="1"/>
    <col min="4" max="4" width="14.51171875" customWidth="1"/>
    <col min="5" max="5" width="18.140625" customWidth="1"/>
    <col min="6" max="6" width="17.8515625" customWidth="1"/>
    <col min="7" max="7" width="13.93359375" customWidth="1"/>
    <col min="8" max="8" width="3.19140625" hidden="1" customWidth="1"/>
    <col min="9" max="9" width="7.98046875" customWidth="1"/>
    <col min="10" max="10" width="17.5625" customWidth="1"/>
    <col min="11" max="11" width="14.94921875" customWidth="1"/>
    <col min="12" max="12" width="0.2890625" bestFit="1" customWidth="1"/>
    <col min="13" max="13" width="4.93359375" bestFit="1" customWidth="1"/>
    <col min="14" max="28" width="7.98046875" customWidth="1"/>
  </cols>
  <sheetData>
    <row r="1" spans="1:28" ht="14.25" customHeight="1" x14ac:dyDescent="0.25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15">
      <c r="A2" s="2"/>
      <c r="B2" s="4"/>
      <c r="C2" s="5" t="s">
        <v>2</v>
      </c>
      <c r="D2" s="6">
        <v>5</v>
      </c>
      <c r="E2" s="2"/>
      <c r="F2" s="5" t="s">
        <v>3</v>
      </c>
      <c r="G2" s="7">
        <f>IF(E3="FORTnightly",(IF(OR(D2="",D3="",D4=""),"-",ROUNDUP(-2*PMT(D4*14/365,D3,D2),0))),(IF(OR(D2="",D3="",D4=""),"-",ROUNDUP(-1*PMT(D4/12,D3,D2),0))))</f>
        <v>1</v>
      </c>
      <c r="H2" s="8"/>
      <c r="I2" s="2"/>
      <c r="J2" s="4"/>
      <c r="K2" s="9" t="s">
        <v>4</v>
      </c>
      <c r="L2" s="10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 t="s">
        <v>5</v>
      </c>
      <c r="Z2" s="2"/>
      <c r="AA2" s="2"/>
      <c r="AB2" s="2" t="s">
        <v>6</v>
      </c>
    </row>
    <row r="3" spans="1:28" ht="14.25" customHeight="1" x14ac:dyDescent="0.15">
      <c r="A3" s="2"/>
      <c r="B3" s="4"/>
      <c r="C3" s="5" t="s">
        <v>7</v>
      </c>
      <c r="D3" s="11">
        <v>360</v>
      </c>
      <c r="E3" s="12" t="s">
        <v>8</v>
      </c>
      <c r="F3" s="5" t="s">
        <v>9</v>
      </c>
      <c r="G3" s="7">
        <f>IF(E3="FORTnightly",(IF(OR(D2="",D3="",D4=""),"-",ROUNDUP(-2*PMT(((D4+2%)*14/365),D3,D2),0))),(IF(OR(D2="",D3="",D4=""),"-",ROUNDUP(-1*PMT((D4+2%)/12,D3,D2),0))))</f>
        <v>1</v>
      </c>
      <c r="H3" s="2"/>
      <c r="I3" s="2"/>
      <c r="J3" s="4"/>
      <c r="K3" s="9" t="s">
        <v>10</v>
      </c>
      <c r="L3" s="10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 t="s">
        <v>11</v>
      </c>
      <c r="Z3" s="2"/>
      <c r="AA3" s="2"/>
      <c r="AB3" s="2" t="s">
        <v>12</v>
      </c>
    </row>
    <row r="4" spans="1:28" ht="14.25" customHeight="1" x14ac:dyDescent="0.15">
      <c r="A4" s="2"/>
      <c r="B4" s="4"/>
      <c r="C4" s="5" t="s">
        <v>13</v>
      </c>
      <c r="D4" s="13">
        <v>3.2500000000000001E-2</v>
      </c>
      <c r="E4" s="2"/>
      <c r="F4" s="2"/>
      <c r="G4" s="2"/>
      <c r="H4" s="14"/>
      <c r="I4" s="2"/>
      <c r="J4" s="2"/>
      <c r="K4" s="2"/>
      <c r="L4" s="2" t="str">
        <f>IF(OR(L2="",L3=""),"",L2-L3+1)</f>
        <v/>
      </c>
      <c r="M4" s="2" t="s">
        <v>14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 t="s">
        <v>15</v>
      </c>
      <c r="Z4" s="2"/>
      <c r="AA4" s="2"/>
      <c r="AB4" s="2"/>
    </row>
    <row r="5" spans="1:28" ht="14.25" customHeight="1" x14ac:dyDescent="0.25">
      <c r="A5" s="2"/>
      <c r="B5" s="2"/>
      <c r="C5" s="2"/>
      <c r="D5" s="2"/>
      <c r="E5" s="15" t="s">
        <v>16</v>
      </c>
      <c r="F5" s="2"/>
      <c r="G5" s="2"/>
      <c r="H5" s="2"/>
      <c r="I5" s="2"/>
      <c r="J5" s="15" t="s">
        <v>17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 t="s">
        <v>8</v>
      </c>
    </row>
    <row r="6" spans="1:28" ht="14.25" customHeight="1" x14ac:dyDescent="0.15">
      <c r="A6" s="2" t="s">
        <v>18</v>
      </c>
      <c r="B6" s="2"/>
      <c r="C6" s="2"/>
      <c r="D6" s="16"/>
      <c r="E6" s="6">
        <v>42000</v>
      </c>
      <c r="F6" s="16"/>
      <c r="G6" s="2"/>
      <c r="H6" s="2"/>
      <c r="I6" s="5" t="s">
        <v>19</v>
      </c>
      <c r="J6" s="17"/>
      <c r="K6" s="18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 t="s">
        <v>20</v>
      </c>
    </row>
    <row r="7" spans="1:28" ht="14.25" customHeight="1" x14ac:dyDescent="0.15">
      <c r="A7" s="2"/>
      <c r="B7" s="2"/>
      <c r="C7" s="2"/>
      <c r="D7" s="16"/>
      <c r="E7" s="6"/>
      <c r="F7" s="16"/>
      <c r="G7" s="2"/>
      <c r="H7" s="2"/>
      <c r="I7" s="5" t="s">
        <v>21</v>
      </c>
      <c r="J7" s="19" t="str">
        <f>IF(J6="","",ROUNDUP(J6*4%,0))</f>
        <v/>
      </c>
      <c r="K7" s="2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 t="s">
        <v>22</v>
      </c>
    </row>
    <row r="8" spans="1:28" ht="14.25" customHeight="1" x14ac:dyDescent="0.15">
      <c r="A8" s="2" t="s">
        <v>23</v>
      </c>
      <c r="B8" s="2"/>
      <c r="C8" s="2"/>
      <c r="D8" s="16"/>
      <c r="E8" s="6">
        <v>7000</v>
      </c>
      <c r="F8" s="21"/>
      <c r="G8" s="2" t="s">
        <v>112</v>
      </c>
      <c r="H8" s="2"/>
      <c r="I8" s="5" t="s">
        <v>24</v>
      </c>
      <c r="J8" s="17"/>
      <c r="K8" s="18"/>
      <c r="L8" s="2" t="s">
        <v>112</v>
      </c>
      <c r="M8" s="2" t="s">
        <v>113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 t="s">
        <v>25</v>
      </c>
    </row>
    <row r="9" spans="1:28" ht="14.25" customHeight="1" x14ac:dyDescent="0.15">
      <c r="A9" s="2"/>
      <c r="B9" s="2"/>
      <c r="C9" s="2" t="s">
        <v>26</v>
      </c>
      <c r="D9" s="4"/>
      <c r="E9" s="6"/>
      <c r="F9" s="2"/>
      <c r="G9" s="2"/>
      <c r="H9" s="2"/>
      <c r="I9" s="5" t="s">
        <v>21</v>
      </c>
      <c r="J9" s="19" t="str">
        <f>IF(J8="","",ROUNDUP(J8*4%,0))</f>
        <v/>
      </c>
      <c r="K9" s="1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15">
      <c r="A10" s="2" t="s">
        <v>27</v>
      </c>
      <c r="B10" s="2"/>
      <c r="C10" s="2"/>
      <c r="D10" s="4"/>
      <c r="E10" s="6"/>
      <c r="F10" s="21"/>
      <c r="G10" s="2"/>
      <c r="H10" s="2"/>
      <c r="I10" s="5"/>
      <c r="J10" s="21"/>
      <c r="K10" s="18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15">
      <c r="A11" s="2"/>
      <c r="B11" s="2"/>
      <c r="C11" s="2"/>
      <c r="D11" s="4"/>
      <c r="E11" s="16"/>
      <c r="F11" s="21"/>
      <c r="G11" s="2"/>
      <c r="H11" s="2"/>
      <c r="I11" s="5" t="s">
        <v>28</v>
      </c>
      <c r="J11" s="22">
        <v>18000</v>
      </c>
      <c r="K11" s="18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15">
      <c r="A12" s="23" t="s">
        <v>29</v>
      </c>
      <c r="B12" s="2"/>
      <c r="C12" s="2"/>
      <c r="D12" s="4"/>
      <c r="E12" s="16"/>
      <c r="F12" s="21"/>
      <c r="G12" s="2"/>
      <c r="H12" s="2"/>
      <c r="I12" s="5"/>
      <c r="J12" s="22"/>
      <c r="K12" s="2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15">
      <c r="A13" s="23" t="s">
        <v>30</v>
      </c>
      <c r="B13" s="2"/>
      <c r="C13" s="2"/>
      <c r="D13" s="2"/>
      <c r="E13" s="16"/>
      <c r="F13" s="25"/>
      <c r="G13" s="2"/>
      <c r="H13" s="2"/>
      <c r="I13" s="23"/>
      <c r="J13" s="22"/>
      <c r="K13" s="2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15">
      <c r="A14" s="23"/>
      <c r="B14" s="2"/>
      <c r="C14" s="2"/>
      <c r="D14" s="86"/>
      <c r="E14" s="85"/>
      <c r="F14" s="26"/>
      <c r="G14" s="2"/>
      <c r="H14" s="2"/>
      <c r="I14" s="23"/>
      <c r="J14" s="27"/>
      <c r="K14" s="2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15">
      <c r="A15" s="23"/>
      <c r="B15" s="28" t="s">
        <v>31</v>
      </c>
      <c r="C15" s="29" t="s">
        <v>32</v>
      </c>
      <c r="D15" s="29">
        <v>3</v>
      </c>
      <c r="E15" s="30" t="s">
        <v>33</v>
      </c>
      <c r="F15" s="31" t="s">
        <v>34</v>
      </c>
      <c r="G15" s="87" t="s">
        <v>35</v>
      </c>
      <c r="H15" s="85"/>
      <c r="I15" s="8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15">
      <c r="A16" s="32" t="str">
        <f>IF(AND(D16="",E16=""),"","Account 1")</f>
        <v/>
      </c>
      <c r="B16" s="33"/>
      <c r="C16" s="34" t="s">
        <v>5</v>
      </c>
      <c r="D16" s="17"/>
      <c r="E16" s="35"/>
      <c r="F16" s="5" t="str">
        <f t="shared" ref="F16:F20" si="0">IF(AND(D16="",E16=""),"",IF(C16="HKD","100%",IF(C16="FCY","85%","30%")))</f>
        <v/>
      </c>
      <c r="G16" s="84" t="str">
        <f t="shared" ref="G16:G20" si="1">IF(AND(D16="",E16=""),"",ROUNDDOWN((MIN(D16,E16)*2.5%*F16/12),0))</f>
        <v/>
      </c>
      <c r="H16" s="85"/>
      <c r="I16" s="8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15">
      <c r="A17" s="32" t="str">
        <f>IF(G17="","","Account "&amp;COUNTIF(G16,G17)+1)</f>
        <v/>
      </c>
      <c r="B17" s="33"/>
      <c r="C17" s="34"/>
      <c r="D17" s="17"/>
      <c r="E17" s="35"/>
      <c r="F17" s="5" t="str">
        <f t="shared" si="0"/>
        <v/>
      </c>
      <c r="G17" s="84" t="str">
        <f t="shared" si="1"/>
        <v/>
      </c>
      <c r="H17" s="85"/>
      <c r="I17" s="8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15">
      <c r="A18" s="32" t="str">
        <f>IF(G18="","","Account "&amp;COUNTIF(G16:G17,G18)+1)</f>
        <v/>
      </c>
      <c r="B18" s="33"/>
      <c r="C18" s="34"/>
      <c r="D18" s="17"/>
      <c r="E18" s="35"/>
      <c r="F18" s="5" t="str">
        <f t="shared" si="0"/>
        <v/>
      </c>
      <c r="G18" s="84" t="str">
        <f t="shared" ref="G18:G19" si="2">IF(AND(D18="",E18=""),"",ROUNDDOWN((MIN(D18,E18)*2.5%*F18/12),0))</f>
        <v/>
      </c>
      <c r="H18" s="85"/>
      <c r="I18" s="8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15">
      <c r="A19" s="32" t="str">
        <f>IF(G19="","","Account "&amp;COUNTIF(G16:G18,G19)+1)</f>
        <v>Account 1</v>
      </c>
      <c r="B19" s="33"/>
      <c r="C19" s="34"/>
      <c r="D19" s="17"/>
      <c r="E19" s="35">
        <v>0</v>
      </c>
      <c r="F19" s="5" t="str">
        <f t="shared" si="0"/>
        <v>30%</v>
      </c>
      <c r="G19" s="84">
        <f t="shared" si="2"/>
        <v>0</v>
      </c>
      <c r="H19" s="85"/>
      <c r="I19" s="85"/>
      <c r="J19" s="2">
        <v>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15">
      <c r="A20" s="32" t="str">
        <f>IF(G20="","","Account "&amp;COUNTIF(G16:G19,G20)+1)</f>
        <v/>
      </c>
      <c r="B20" s="33"/>
      <c r="C20" s="34"/>
      <c r="D20" s="17"/>
      <c r="E20" s="35"/>
      <c r="F20" s="5" t="str">
        <f t="shared" si="0"/>
        <v/>
      </c>
      <c r="G20" s="84" t="str">
        <f t="shared" si="1"/>
        <v/>
      </c>
      <c r="H20" s="85"/>
      <c r="I20" s="8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15">
      <c r="A21" s="36" t="s">
        <v>36</v>
      </c>
      <c r="B21" s="2"/>
      <c r="C21" s="2"/>
      <c r="D21" s="2"/>
      <c r="E21" s="2"/>
      <c r="F21" s="26"/>
      <c r="G21" s="2"/>
      <c r="H21" s="2"/>
      <c r="I21" s="2"/>
      <c r="J21" s="2"/>
      <c r="K21" s="2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33.75" customHeight="1" x14ac:dyDescent="0.15">
      <c r="A22" s="2"/>
      <c r="B22" s="2" t="s">
        <v>37</v>
      </c>
      <c r="C22" s="37" t="s">
        <v>38</v>
      </c>
      <c r="D22" s="2" t="s">
        <v>39</v>
      </c>
      <c r="E22" s="2" t="s">
        <v>40</v>
      </c>
      <c r="F22" s="26"/>
      <c r="G22" s="2"/>
      <c r="H22" s="2"/>
      <c r="I22" s="2">
        <v>1</v>
      </c>
      <c r="J22" s="38" t="s">
        <v>41</v>
      </c>
      <c r="K22" s="26" t="s">
        <v>42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15">
      <c r="A23" s="2"/>
      <c r="B23" s="39"/>
      <c r="C23" s="2" t="s">
        <v>8</v>
      </c>
      <c r="D23" s="40">
        <v>360</v>
      </c>
      <c r="E23" s="13">
        <v>3.5000000000000003E-2</v>
      </c>
      <c r="F23" s="26"/>
      <c r="G23" s="2"/>
      <c r="H23" s="2"/>
      <c r="I23" s="2"/>
      <c r="J23" s="19" t="str">
        <f t="shared" ref="J23:J32" si="3">IF(OR(B23="",D23="",E23=""),"",IF(C23="fortnightly",ROUNDUP(-2*PMT(E23*14/365,D23,B23),0),ROUNDUP(-1*PMT(E23/12,D23,B23),0)))</f>
        <v/>
      </c>
      <c r="K23" s="19" t="str">
        <f t="shared" ref="K23:K32" si="4">IF(OR(B23="",D23="",E23=""),"",IF(C23="fortnightly",ROUNDUP(-2*PMT((E23+3%)*14/365,D23,B23),0),ROUNDUP(-1*PMT((E23+3%)/12,D23,B23),0)))</f>
        <v/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15">
      <c r="A24" s="2"/>
      <c r="B24" s="41"/>
      <c r="C24" s="2" t="s">
        <v>8</v>
      </c>
      <c r="D24" s="40"/>
      <c r="E24" s="13"/>
      <c r="F24" s="26"/>
      <c r="G24" s="2"/>
      <c r="H24" s="2"/>
      <c r="I24" s="2"/>
      <c r="J24" s="19" t="str">
        <f t="shared" si="3"/>
        <v/>
      </c>
      <c r="K24" s="19" t="str">
        <f t="shared" si="4"/>
        <v/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15">
      <c r="A25" s="2"/>
      <c r="B25" s="21"/>
      <c r="C25" s="2" t="s">
        <v>8</v>
      </c>
      <c r="D25" s="2"/>
      <c r="E25" s="14"/>
      <c r="F25" s="26"/>
      <c r="G25" s="2"/>
      <c r="H25" s="2"/>
      <c r="I25" s="2"/>
      <c r="J25" s="19" t="str">
        <f t="shared" si="3"/>
        <v/>
      </c>
      <c r="K25" s="19" t="str">
        <f t="shared" si="4"/>
        <v/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 x14ac:dyDescent="0.15">
      <c r="A26" s="2"/>
      <c r="B26" s="21"/>
      <c r="C26" s="2"/>
      <c r="D26" s="2"/>
      <c r="E26" s="14"/>
      <c r="F26" s="26"/>
      <c r="G26" s="2"/>
      <c r="H26" s="2"/>
      <c r="I26" s="2"/>
      <c r="J26" s="19" t="str">
        <f t="shared" si="3"/>
        <v/>
      </c>
      <c r="K26" s="19" t="str">
        <f t="shared" si="4"/>
        <v/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15">
      <c r="A27" s="2"/>
      <c r="B27" s="21"/>
      <c r="C27" s="2"/>
      <c r="D27" s="2"/>
      <c r="E27" s="14"/>
      <c r="F27" s="26"/>
      <c r="G27" s="2"/>
      <c r="H27" s="2"/>
      <c r="I27" s="2"/>
      <c r="J27" s="19" t="str">
        <f t="shared" si="3"/>
        <v/>
      </c>
      <c r="K27" s="19" t="str">
        <f t="shared" si="4"/>
        <v/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15">
      <c r="A28" s="2"/>
      <c r="B28" s="21"/>
      <c r="C28" s="2"/>
      <c r="D28" s="2"/>
      <c r="E28" s="14"/>
      <c r="F28" s="26"/>
      <c r="G28" s="2"/>
      <c r="H28" s="2"/>
      <c r="I28" s="2"/>
      <c r="J28" s="19" t="str">
        <f t="shared" si="3"/>
        <v/>
      </c>
      <c r="K28" s="19" t="str">
        <f t="shared" si="4"/>
        <v/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15">
      <c r="A29" s="2"/>
      <c r="B29" s="21"/>
      <c r="C29" s="2"/>
      <c r="D29" s="2"/>
      <c r="E29" s="14"/>
      <c r="F29" s="26"/>
      <c r="G29" s="2"/>
      <c r="H29" s="2"/>
      <c r="I29" s="2"/>
      <c r="J29" s="19" t="str">
        <f t="shared" si="3"/>
        <v/>
      </c>
      <c r="K29" s="19" t="str">
        <f t="shared" si="4"/>
        <v/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15">
      <c r="A30" s="2"/>
      <c r="B30" s="21"/>
      <c r="C30" s="2"/>
      <c r="D30" s="2"/>
      <c r="E30" s="14"/>
      <c r="F30" s="26"/>
      <c r="G30" s="2"/>
      <c r="H30" s="2"/>
      <c r="I30" s="2"/>
      <c r="J30" s="19" t="str">
        <f t="shared" si="3"/>
        <v/>
      </c>
      <c r="K30" s="19" t="str">
        <f t="shared" si="4"/>
        <v/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15">
      <c r="A31" s="2"/>
      <c r="B31" s="21"/>
      <c r="C31" s="2" t="s">
        <v>43</v>
      </c>
      <c r="D31" s="2"/>
      <c r="E31" s="14"/>
      <c r="F31" s="26"/>
      <c r="G31" s="2"/>
      <c r="H31" s="2"/>
      <c r="I31" s="2"/>
      <c r="J31" s="19" t="str">
        <f t="shared" si="3"/>
        <v/>
      </c>
      <c r="K31" s="19" t="str">
        <f t="shared" si="4"/>
        <v/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15">
      <c r="A32" s="2"/>
      <c r="B32" s="21"/>
      <c r="C32" s="2"/>
      <c r="D32" s="2"/>
      <c r="E32" s="14"/>
      <c r="F32" s="26"/>
      <c r="G32" s="2"/>
      <c r="H32" s="2"/>
      <c r="I32" s="2"/>
      <c r="J32" s="19" t="str">
        <f t="shared" si="3"/>
        <v/>
      </c>
      <c r="K32" s="19" t="str">
        <f t="shared" si="4"/>
        <v/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2">
      <c r="A33" s="2"/>
      <c r="B33" s="4"/>
      <c r="C33" s="2"/>
      <c r="D33" s="2"/>
      <c r="E33" s="42" t="s">
        <v>44</v>
      </c>
      <c r="F33" s="43">
        <f>ROUNDDOWN(SUM(E6:E11,E12*0.7,E13*0.6,(G16:I20)),0)</f>
        <v>49000</v>
      </c>
      <c r="G33" s="2"/>
      <c r="H33" s="2"/>
      <c r="I33" s="44"/>
      <c r="J33" s="44" t="s">
        <v>45</v>
      </c>
      <c r="K33" s="45">
        <f>ROUNDUP(SUM(J7,G2,J23:J31,J9,J10:J14),0)</f>
        <v>18001</v>
      </c>
      <c r="L33" s="46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4" t="str">
        <f>IF(AND(G3="-",SUM(K23:K31)=0),"","Stress test:")</f>
        <v>Stress test:</v>
      </c>
      <c r="K34" s="47">
        <f>IF(AND(G3="-",SUM(K23:K31)=0),"",ROUNDUP(SUM(J7,G3,K23:K31,J9,J11:J14),0))</f>
        <v>18001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25">
      <c r="A35" s="2"/>
      <c r="B35" s="2"/>
      <c r="C35" s="2"/>
      <c r="D35" s="48" t="s">
        <v>46</v>
      </c>
      <c r="E35" s="49">
        <f>IF(F33=0,"",K33/F33)</f>
        <v>0.36736734693877549</v>
      </c>
      <c r="F35" s="50" t="str">
        <f>IF(E35="","",IF(E35&gt;50%,"DTI EXCESS",""))</f>
        <v/>
      </c>
      <c r="G35" s="5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25">
      <c r="A36" s="2"/>
      <c r="B36" s="2"/>
      <c r="C36" s="2"/>
      <c r="D36" s="48" t="s">
        <v>47</v>
      </c>
      <c r="E36" s="49">
        <f>IF(F33=0,"",IF(AND(G3="-",SUM(K23:K31)=0),"",SUM(J7,G3,K23:K31,J9,J11:J14)/F33))</f>
        <v>0.36736734693877549</v>
      </c>
      <c r="F36" s="52" t="str">
        <f>IF(E36="","",IF(E36&gt;60%,"STRESS DTI EXCESS",""))</f>
        <v/>
      </c>
      <c r="G36" s="2"/>
      <c r="H36" s="2"/>
      <c r="I36" s="26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15">
      <c r="A37" s="2"/>
      <c r="B37" s="2"/>
      <c r="C37" s="2"/>
      <c r="D37" s="2"/>
      <c r="E37" s="2"/>
      <c r="F37" s="4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15">
      <c r="A40" s="2"/>
      <c r="B40" s="2">
        <v>7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autoFilter ref="C1:G6" xr:uid="{00000000-0001-0000-0000-000000000000}"/>
  <mergeCells count="7">
    <mergeCell ref="G19:I19"/>
    <mergeCell ref="G20:I20"/>
    <mergeCell ref="D14:E14"/>
    <mergeCell ref="G15:I15"/>
    <mergeCell ref="G16:I16"/>
    <mergeCell ref="G17:I17"/>
    <mergeCell ref="G18:I18"/>
  </mergeCells>
  <conditionalFormatting sqref="B16:B20 D16:E20">
    <cfRule type="expression" dxfId="13" priority="4">
      <formula>NOT($G16="")</formula>
    </cfRule>
  </conditionalFormatting>
  <conditionalFormatting sqref="B16:C20">
    <cfRule type="notContainsBlanks" dxfId="12" priority="5">
      <formula>LEN(TRIM(B16))&gt;0</formula>
    </cfRule>
  </conditionalFormatting>
  <conditionalFormatting sqref="D2">
    <cfRule type="notContainsBlanks" dxfId="11" priority="10">
      <formula>LEN(TRIM(D2))&gt;0</formula>
    </cfRule>
  </conditionalFormatting>
  <conditionalFormatting sqref="D6:D8">
    <cfRule type="notContainsBlanks" dxfId="10" priority="11">
      <formula>LEN(TRIM(D6))&gt;0</formula>
    </cfRule>
  </conditionalFormatting>
  <conditionalFormatting sqref="E3">
    <cfRule type="notContainsBlanks" dxfId="9" priority="3">
      <formula>LEN(TRIM(E3))&gt;0</formula>
    </cfRule>
  </conditionalFormatting>
  <conditionalFormatting sqref="E6">
    <cfRule type="notContainsBlanks" dxfId="8" priority="14">
      <formula>LEN(TRIM(E6))&gt;0</formula>
    </cfRule>
  </conditionalFormatting>
  <conditionalFormatting sqref="F6:F7">
    <cfRule type="notContainsBlanks" dxfId="7" priority="8">
      <formula>LEN(TRIM(F6))&gt;0</formula>
    </cfRule>
  </conditionalFormatting>
  <conditionalFormatting sqref="F12">
    <cfRule type="expression" dxfId="6" priority="1">
      <formula>NOT(ISERROR(F12))</formula>
    </cfRule>
  </conditionalFormatting>
  <conditionalFormatting sqref="L2:L3 D3 J6:J14 E7:E13 G15:G20">
    <cfRule type="notContainsBlanks" dxfId="5" priority="2">
      <formula>LEN(TRIM(D3))&gt;0</formula>
    </cfRule>
  </conditionalFormatting>
  <conditionalFormatting sqref="L4">
    <cfRule type="cellIs" dxfId="4" priority="7" operator="notBetween">
      <formula>1</formula>
      <formula>90</formula>
    </cfRule>
  </conditionalFormatting>
  <dataValidations count="2">
    <dataValidation type="list" allowBlank="1" showErrorMessage="1" sqref="C16:C20" xr:uid="{00000000-0002-0000-0000-000000000000}">
      <formula1>$Y$2:$Y$4</formula1>
    </dataValidation>
    <dataValidation type="list" allowBlank="1" sqref="E3 C23:C32" xr:uid="{00000000-0002-0000-0000-000001000000}">
      <formula1>$AB$5:$AB$6</formula1>
    </dataValidation>
  </dataValidations>
  <pageMargins left="0.70866141732283472" right="0.70866141732283472" top="0.74803149606299213" bottom="0.74803149606299213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AE7F-5929-0C47-85F6-BB2DA58B614F}">
  <dimension ref="A1"/>
  <sheetViews>
    <sheetView zoomScaleNormal="100" zoomScaleSheetLayoutView="100" workbookViewId="0"/>
  </sheetViews>
  <sheetFormatPr defaultRowHeight="14.25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workbookViewId="0"/>
  </sheetViews>
  <sheetFormatPr defaultColWidth="12.625" defaultRowHeight="15" customHeight="1" x14ac:dyDescent="0.15"/>
  <cols>
    <col min="1" max="1" width="7.98046875" customWidth="1"/>
    <col min="2" max="2" width="16.69140625" customWidth="1"/>
    <col min="3" max="3" width="22.78515625" customWidth="1"/>
    <col min="4" max="4" width="10.73828125" customWidth="1"/>
    <col min="5" max="5" width="15.8203125" customWidth="1"/>
    <col min="6" max="7" width="16.69140625" customWidth="1"/>
    <col min="8" max="9" width="12.625" customWidth="1"/>
    <col min="10" max="10" width="14.078125" customWidth="1"/>
    <col min="11" max="11" width="18.140625" customWidth="1"/>
    <col min="12" max="26" width="7.98046875" customWidth="1"/>
  </cols>
  <sheetData>
    <row r="1" spans="1:26" ht="14.25" customHeight="1" x14ac:dyDescent="0.15">
      <c r="A1" s="23"/>
      <c r="B1" s="89" t="s">
        <v>48</v>
      </c>
      <c r="C1" s="85"/>
      <c r="D1" s="90"/>
      <c r="E1" s="91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29.25" customHeight="1" x14ac:dyDescent="0.15">
      <c r="A2" s="23"/>
      <c r="B2" s="85"/>
      <c r="C2" s="85"/>
      <c r="D2" s="92"/>
      <c r="E2" s="85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4.25" customHeight="1" x14ac:dyDescent="0.2">
      <c r="A3" s="31"/>
      <c r="B3" s="54"/>
      <c r="C3" s="55" t="s">
        <v>49</v>
      </c>
      <c r="D3" s="93"/>
      <c r="E3" s="94"/>
      <c r="F3" s="23"/>
      <c r="G3" s="23"/>
      <c r="H3" s="23"/>
      <c r="I3" s="23"/>
      <c r="J3" s="23"/>
      <c r="K3" s="23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4.25" customHeight="1" x14ac:dyDescent="0.2">
      <c r="A4" s="31"/>
      <c r="B4" s="54"/>
      <c r="C4" s="55" t="s">
        <v>50</v>
      </c>
      <c r="D4" s="93"/>
      <c r="E4" s="94"/>
      <c r="F4" s="23"/>
      <c r="G4" s="23"/>
      <c r="H4" s="23"/>
      <c r="I4" s="23"/>
      <c r="J4" s="23"/>
      <c r="K4" s="23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4.25" customHeight="1" x14ac:dyDescent="0.2">
      <c r="A5" s="31"/>
      <c r="B5" s="54"/>
      <c r="C5" s="55" t="s">
        <v>51</v>
      </c>
      <c r="D5" s="93"/>
      <c r="E5" s="94"/>
      <c r="F5" s="23"/>
      <c r="G5" s="23"/>
      <c r="H5" s="23"/>
      <c r="I5" s="23"/>
      <c r="J5" s="23"/>
      <c r="K5" s="23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4.25" customHeight="1" x14ac:dyDescent="0.15">
      <c r="A6" s="31"/>
      <c r="B6" s="23"/>
      <c r="C6" s="23"/>
      <c r="D6" s="23"/>
      <c r="E6" s="23"/>
      <c r="F6" s="23"/>
      <c r="G6" s="23"/>
      <c r="H6" s="23"/>
      <c r="I6" s="23"/>
      <c r="J6" s="23"/>
      <c r="K6" s="23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35.25" customHeight="1" x14ac:dyDescent="0.15">
      <c r="A7" s="23"/>
      <c r="B7" s="23"/>
      <c r="C7" s="56" t="s">
        <v>52</v>
      </c>
      <c r="D7" s="23"/>
      <c r="E7" s="37" t="s">
        <v>53</v>
      </c>
      <c r="F7" s="57"/>
      <c r="G7" s="37" t="s">
        <v>54</v>
      </c>
      <c r="H7" s="57"/>
      <c r="I7" s="37" t="s">
        <v>55</v>
      </c>
      <c r="J7" s="23"/>
      <c r="K7" s="5" t="s">
        <v>56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4.25" customHeight="1" x14ac:dyDescent="0.15">
      <c r="A8" s="23"/>
      <c r="B8" s="23"/>
      <c r="C8" s="5" t="s">
        <v>57</v>
      </c>
      <c r="D8" s="23"/>
      <c r="E8" s="58"/>
      <c r="F8" s="23"/>
      <c r="G8" s="58"/>
      <c r="H8" s="23"/>
      <c r="I8" s="59"/>
      <c r="J8" s="23"/>
      <c r="K8" s="60" t="str">
        <f t="shared" ref="K8:K15" si="0">IF(I8="","",IF(G8*I8*50%-E8&gt;0,G8*I8*50%-E8,"No Asset Value"))</f>
        <v/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4.25" customHeight="1" x14ac:dyDescent="0.15">
      <c r="A9" s="23"/>
      <c r="B9" s="23"/>
      <c r="C9" s="5" t="s">
        <v>58</v>
      </c>
      <c r="D9" s="23"/>
      <c r="E9" s="58"/>
      <c r="F9" s="23"/>
      <c r="G9" s="58"/>
      <c r="H9" s="23"/>
      <c r="I9" s="59"/>
      <c r="J9" s="23"/>
      <c r="K9" s="60" t="str">
        <f t="shared" si="0"/>
        <v/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4.25" customHeight="1" x14ac:dyDescent="0.15">
      <c r="A10" s="23"/>
      <c r="B10" s="23"/>
      <c r="C10" s="5" t="s">
        <v>59</v>
      </c>
      <c r="D10" s="23"/>
      <c r="E10" s="58"/>
      <c r="F10" s="23"/>
      <c r="G10" s="58"/>
      <c r="H10" s="23"/>
      <c r="I10" s="59"/>
      <c r="J10" s="23"/>
      <c r="K10" s="60" t="str">
        <f t="shared" si="0"/>
        <v/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4.25" customHeight="1" x14ac:dyDescent="0.15">
      <c r="A11" s="23"/>
      <c r="B11" s="23"/>
      <c r="C11" s="5" t="s">
        <v>60</v>
      </c>
      <c r="D11" s="23"/>
      <c r="E11" s="58"/>
      <c r="F11" s="23"/>
      <c r="G11" s="58"/>
      <c r="H11" s="23"/>
      <c r="I11" s="59"/>
      <c r="J11" s="23"/>
      <c r="K11" s="60" t="str">
        <f t="shared" si="0"/>
        <v/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4.25" customHeight="1" x14ac:dyDescent="0.15">
      <c r="A12" s="23"/>
      <c r="B12" s="23"/>
      <c r="C12" s="5" t="s">
        <v>61</v>
      </c>
      <c r="D12" s="23"/>
      <c r="E12" s="58"/>
      <c r="F12" s="23"/>
      <c r="G12" s="58"/>
      <c r="H12" s="23"/>
      <c r="I12" s="59"/>
      <c r="J12" s="23"/>
      <c r="K12" s="60" t="str">
        <f t="shared" si="0"/>
        <v/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4.25" customHeight="1" x14ac:dyDescent="0.15">
      <c r="A13" s="23"/>
      <c r="B13" s="23"/>
      <c r="C13" s="5" t="s">
        <v>62</v>
      </c>
      <c r="D13" s="23"/>
      <c r="E13" s="58"/>
      <c r="F13" s="23"/>
      <c r="G13" s="58"/>
      <c r="H13" s="23"/>
      <c r="I13" s="59"/>
      <c r="J13" s="23"/>
      <c r="K13" s="60" t="str">
        <f t="shared" si="0"/>
        <v/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4.25" hidden="1" customHeight="1" x14ac:dyDescent="0.15">
      <c r="A14" s="23"/>
      <c r="B14" s="23"/>
      <c r="C14" s="5" t="s">
        <v>63</v>
      </c>
      <c r="D14" s="23"/>
      <c r="E14" s="61"/>
      <c r="F14" s="23"/>
      <c r="G14" s="61"/>
      <c r="H14" s="23"/>
      <c r="I14" s="59"/>
      <c r="J14" s="23"/>
      <c r="K14" s="60" t="str">
        <f t="shared" si="0"/>
        <v/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4.25" hidden="1" customHeight="1" x14ac:dyDescent="0.15">
      <c r="A15" s="23"/>
      <c r="B15" s="23"/>
      <c r="C15" s="5" t="s">
        <v>64</v>
      </c>
      <c r="D15" s="23"/>
      <c r="E15" s="61"/>
      <c r="F15" s="23"/>
      <c r="G15" s="61"/>
      <c r="H15" s="23"/>
      <c r="I15" s="59"/>
      <c r="J15" s="23"/>
      <c r="K15" s="60" t="str">
        <f t="shared" si="0"/>
        <v/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4.25" customHeight="1" x14ac:dyDescent="0.15">
      <c r="A16" s="23"/>
      <c r="B16" s="23"/>
      <c r="C16" s="5"/>
      <c r="D16" s="23"/>
      <c r="E16" s="62"/>
      <c r="F16" s="23"/>
      <c r="G16" s="62"/>
      <c r="H16" s="23"/>
      <c r="I16" s="63"/>
      <c r="J16" s="5" t="s">
        <v>65</v>
      </c>
      <c r="K16" s="60">
        <f>SUM(K8:K15)</f>
        <v>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4.25" customHeight="1" x14ac:dyDescent="0.15">
      <c r="A17" s="23"/>
      <c r="B17" s="23"/>
      <c r="C17" s="5"/>
      <c r="D17" s="23"/>
      <c r="E17" s="62"/>
      <c r="F17" s="23"/>
      <c r="G17" s="62"/>
      <c r="H17" s="23"/>
      <c r="I17" s="63"/>
      <c r="J17" s="23"/>
      <c r="K17" s="62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4.25" customHeight="1" x14ac:dyDescent="0.15">
      <c r="A18" s="23"/>
      <c r="B18" s="23"/>
      <c r="C18" s="23"/>
      <c r="D18" s="23"/>
      <c r="E18" s="31" t="s">
        <v>66</v>
      </c>
      <c r="F18" s="57"/>
      <c r="G18" s="31" t="s">
        <v>33</v>
      </c>
      <c r="H18" s="57"/>
      <c r="I18" s="37" t="s">
        <v>67</v>
      </c>
      <c r="J18" s="23"/>
      <c r="K18" s="5" t="s">
        <v>56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4.25" customHeight="1" x14ac:dyDescent="0.15">
      <c r="A19" s="23"/>
      <c r="B19" s="23"/>
      <c r="C19" s="5" t="s">
        <v>68</v>
      </c>
      <c r="D19" s="23"/>
      <c r="E19" s="58"/>
      <c r="F19" s="23"/>
      <c r="G19" s="58"/>
      <c r="H19" s="23"/>
      <c r="I19" s="59"/>
      <c r="J19" s="23"/>
      <c r="K19" s="60" t="str">
        <f t="shared" ref="K19:K26" si="1">IF(AND(E19="",G19=""),"",MIN(E19,G19)*I19)</f>
        <v/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4.25" customHeight="1" x14ac:dyDescent="0.15">
      <c r="A20" s="23"/>
      <c r="B20" s="23"/>
      <c r="C20" s="5" t="s">
        <v>69</v>
      </c>
      <c r="D20" s="23"/>
      <c r="E20" s="58"/>
      <c r="F20" s="23"/>
      <c r="G20" s="58"/>
      <c r="H20" s="23"/>
      <c r="I20" s="59"/>
      <c r="J20" s="23"/>
      <c r="K20" s="60" t="str">
        <f t="shared" si="1"/>
        <v/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4.25" customHeight="1" x14ac:dyDescent="0.15">
      <c r="A21" s="23"/>
      <c r="B21" s="23"/>
      <c r="C21" s="5" t="s">
        <v>70</v>
      </c>
      <c r="D21" s="23"/>
      <c r="E21" s="58"/>
      <c r="F21" s="23"/>
      <c r="G21" s="58"/>
      <c r="H21" s="23"/>
      <c r="I21" s="59"/>
      <c r="J21" s="23"/>
      <c r="K21" s="60" t="str">
        <f t="shared" si="1"/>
        <v/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4.25" customHeight="1" x14ac:dyDescent="0.15">
      <c r="A22" s="23"/>
      <c r="B22" s="23"/>
      <c r="C22" s="5" t="s">
        <v>71</v>
      </c>
      <c r="D22" s="23"/>
      <c r="E22" s="58"/>
      <c r="F22" s="23"/>
      <c r="G22" s="58"/>
      <c r="H22" s="23"/>
      <c r="I22" s="59"/>
      <c r="J22" s="23"/>
      <c r="K22" s="60" t="str">
        <f t="shared" si="1"/>
        <v/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4.25" customHeight="1" x14ac:dyDescent="0.15">
      <c r="A23" s="23"/>
      <c r="B23" s="23"/>
      <c r="C23" s="5" t="s">
        <v>72</v>
      </c>
      <c r="D23" s="23"/>
      <c r="E23" s="58"/>
      <c r="F23" s="23"/>
      <c r="G23" s="58"/>
      <c r="H23" s="23"/>
      <c r="I23" s="59"/>
      <c r="J23" s="23"/>
      <c r="K23" s="60" t="str">
        <f t="shared" si="1"/>
        <v/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4.25" customHeight="1" x14ac:dyDescent="0.15">
      <c r="A24" s="23"/>
      <c r="B24" s="23"/>
      <c r="C24" s="5" t="s">
        <v>73</v>
      </c>
      <c r="D24" s="23"/>
      <c r="E24" s="58"/>
      <c r="F24" s="23"/>
      <c r="G24" s="58"/>
      <c r="H24" s="23"/>
      <c r="I24" s="59"/>
      <c r="J24" s="23"/>
      <c r="K24" s="60" t="str">
        <f t="shared" si="1"/>
        <v/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4.25" hidden="1" customHeight="1" x14ac:dyDescent="0.15">
      <c r="A25" s="23"/>
      <c r="B25" s="23"/>
      <c r="C25" s="5" t="s">
        <v>74</v>
      </c>
      <c r="D25" s="23"/>
      <c r="E25" s="58"/>
      <c r="F25" s="23"/>
      <c r="G25" s="58"/>
      <c r="H25" s="23"/>
      <c r="I25" s="59"/>
      <c r="J25" s="23"/>
      <c r="K25" s="60" t="str">
        <f t="shared" si="1"/>
        <v/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4.25" hidden="1" customHeight="1" x14ac:dyDescent="0.15">
      <c r="A26" s="23"/>
      <c r="B26" s="23"/>
      <c r="C26" s="5" t="s">
        <v>75</v>
      </c>
      <c r="D26" s="23"/>
      <c r="E26" s="58"/>
      <c r="F26" s="23"/>
      <c r="G26" s="58"/>
      <c r="H26" s="23"/>
      <c r="I26" s="59"/>
      <c r="J26" s="23"/>
      <c r="K26" s="60" t="str">
        <f t="shared" si="1"/>
        <v/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4.25" customHeight="1" x14ac:dyDescent="0.15">
      <c r="A27" s="23"/>
      <c r="B27" s="23"/>
      <c r="C27" s="23"/>
      <c r="D27" s="23"/>
      <c r="E27" s="23"/>
      <c r="F27" s="23"/>
      <c r="G27" s="23"/>
      <c r="H27" s="23"/>
      <c r="I27" s="23"/>
      <c r="J27" s="5" t="s">
        <v>76</v>
      </c>
      <c r="K27" s="60">
        <f>SUM(K19:K26)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4.25" customHeight="1" x14ac:dyDescent="0.2">
      <c r="A28" s="31"/>
      <c r="B28" s="31"/>
      <c r="C28" s="88" t="str">
        <f>IF(D1="","Input Loan Amount",IF(K16+K27-D1-D3-D4-D5&gt;0,"ABL Should Be OK","please provide more asset"))</f>
        <v>Input Loan Amount</v>
      </c>
      <c r="D28" s="85"/>
      <c r="E28" s="85"/>
      <c r="F28" s="85"/>
      <c r="G28" s="23"/>
      <c r="H28" s="23"/>
      <c r="I28" s="23"/>
      <c r="J28" s="42"/>
      <c r="K28" s="62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4.25" customHeight="1" x14ac:dyDescent="0.15">
      <c r="A29" s="31"/>
      <c r="B29" s="31"/>
      <c r="C29" s="85"/>
      <c r="D29" s="85"/>
      <c r="E29" s="85"/>
      <c r="F29" s="85"/>
      <c r="G29" s="23"/>
      <c r="H29" s="23"/>
      <c r="I29" s="23"/>
      <c r="J29" s="23"/>
      <c r="K29" s="23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4.25" customHeight="1" x14ac:dyDescent="0.2">
      <c r="A30" s="31"/>
      <c r="B30" s="31"/>
      <c r="C30" s="85"/>
      <c r="D30" s="85"/>
      <c r="E30" s="85"/>
      <c r="F30" s="85"/>
      <c r="G30" s="23"/>
      <c r="H30" s="23"/>
      <c r="I30" s="23"/>
      <c r="J30" s="42" t="s">
        <v>77</v>
      </c>
      <c r="K30" s="60">
        <f>K16+K27-D1-D3-D4-D5</f>
        <v>0</v>
      </c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4.25" customHeight="1" x14ac:dyDescent="0.15">
      <c r="A31" s="31"/>
      <c r="B31" s="31"/>
      <c r="C31" s="85"/>
      <c r="D31" s="85"/>
      <c r="E31" s="85"/>
      <c r="F31" s="85"/>
      <c r="G31" s="23"/>
      <c r="H31" s="23"/>
      <c r="I31" s="23"/>
      <c r="J31" s="23"/>
      <c r="K31" s="23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4.25" customHeight="1" x14ac:dyDescent="0.15">
      <c r="A32" s="31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4.25" customHeight="1" x14ac:dyDescent="0.15">
      <c r="A33" s="31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4.25" customHeight="1" x14ac:dyDescent="0.15">
      <c r="A34" s="31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5.75" hidden="1" customHeight="1" x14ac:dyDescent="0.1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.75" hidden="1" customHeight="1" x14ac:dyDescent="0.1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.75" hidden="1" customHeight="1" x14ac:dyDescent="0.1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.75" hidden="1" customHeight="1" x14ac:dyDescent="0.1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.75" hidden="1" customHeight="1" x14ac:dyDescent="0.1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.75" hidden="1" customHeight="1" x14ac:dyDescent="0.1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.75" hidden="1" customHeight="1" x14ac:dyDescent="0.1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.75" hidden="1" customHeight="1" x14ac:dyDescent="0.1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75" hidden="1" customHeight="1" x14ac:dyDescent="0.1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75" hidden="1" customHeight="1" x14ac:dyDescent="0.1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4.25" customHeight="1" x14ac:dyDescent="0.15">
      <c r="A45" s="31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4.25" customHeight="1" x14ac:dyDescent="0.15">
      <c r="A46" s="31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4.25" customHeight="1" x14ac:dyDescent="0.15">
      <c r="A47" s="31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4.25" customHeight="1" x14ac:dyDescent="0.15">
      <c r="A48" s="31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4.25" customHeight="1" x14ac:dyDescent="0.15">
      <c r="A49" s="31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4.25" customHeight="1" x14ac:dyDescent="0.15">
      <c r="A50" s="31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4.25" customHeight="1" x14ac:dyDescent="0.15">
      <c r="A51" s="31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4.25" customHeight="1" x14ac:dyDescent="0.15">
      <c r="A52" s="31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4.25" customHeight="1" x14ac:dyDescent="0.15">
      <c r="A53" s="31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4.25" customHeight="1" x14ac:dyDescent="0.15">
      <c r="A54" s="31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4.25" customHeight="1" x14ac:dyDescent="0.15">
      <c r="A55" s="31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4.25" customHeight="1" x14ac:dyDescent="0.15">
      <c r="A56" s="31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4.25" customHeight="1" x14ac:dyDescent="0.15">
      <c r="A57" s="31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4.25" customHeight="1" x14ac:dyDescent="0.15">
      <c r="A58" s="31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4.25" customHeight="1" x14ac:dyDescent="0.15">
      <c r="A59" s="31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4.25" customHeight="1" x14ac:dyDescent="0.15">
      <c r="A60" s="31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4.25" customHeight="1" x14ac:dyDescent="0.15">
      <c r="A61" s="31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4.25" customHeight="1" x14ac:dyDescent="0.15">
      <c r="A62" s="31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4.25" customHeight="1" x14ac:dyDescent="0.15">
      <c r="A63" s="31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4.25" customHeight="1" x14ac:dyDescent="0.15">
      <c r="A64" s="31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4.25" customHeight="1" x14ac:dyDescent="0.15">
      <c r="A65" s="31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4.25" customHeight="1" x14ac:dyDescent="0.15">
      <c r="A66" s="31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4.25" customHeight="1" x14ac:dyDescent="0.15">
      <c r="A67" s="31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spans="1:26" ht="14.25" customHeight="1" x14ac:dyDescent="0.15">
      <c r="A68" s="31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4.25" customHeight="1" x14ac:dyDescent="0.15">
      <c r="A69" s="31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4.25" customHeight="1" x14ac:dyDescent="0.15">
      <c r="A70" s="31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4.25" customHeight="1" x14ac:dyDescent="0.15">
      <c r="A71" s="31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4.25" customHeight="1" x14ac:dyDescent="0.15">
      <c r="A72" s="31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4.25" customHeight="1" x14ac:dyDescent="0.15">
      <c r="A73" s="31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4.25" customHeight="1" x14ac:dyDescent="0.15">
      <c r="A74" s="31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4.25" customHeight="1" x14ac:dyDescent="0.15">
      <c r="A75" s="31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4.25" customHeight="1" x14ac:dyDescent="0.15">
      <c r="A76" s="31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4.25" customHeight="1" x14ac:dyDescent="0.15">
      <c r="A77" s="31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4.25" customHeight="1" x14ac:dyDescent="0.15">
      <c r="A78" s="31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4.25" customHeight="1" x14ac:dyDescent="0.15">
      <c r="A79" s="31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4.25" customHeight="1" x14ac:dyDescent="0.15">
      <c r="A80" s="31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4.25" customHeight="1" x14ac:dyDescent="0.15">
      <c r="A81" s="31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4.25" customHeight="1" x14ac:dyDescent="0.15">
      <c r="A82" s="31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4.25" customHeight="1" x14ac:dyDescent="0.15">
      <c r="A83" s="31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4.25" customHeight="1" x14ac:dyDescent="0.15">
      <c r="A84" s="31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spans="1:26" ht="14.25" customHeight="1" x14ac:dyDescent="0.15">
      <c r="A85" s="31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spans="1:26" ht="14.25" customHeight="1" x14ac:dyDescent="0.15">
      <c r="A86" s="31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4.25" customHeight="1" x14ac:dyDescent="0.15">
      <c r="A87" s="31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4.25" customHeight="1" x14ac:dyDescent="0.15">
      <c r="A88" s="31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4.25" customHeight="1" x14ac:dyDescent="0.15">
      <c r="A89" s="31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4.25" customHeight="1" x14ac:dyDescent="0.15">
      <c r="A90" s="31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4.25" customHeight="1" x14ac:dyDescent="0.15">
      <c r="A91" s="31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4.25" customHeight="1" x14ac:dyDescent="0.15">
      <c r="A92" s="31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4.25" customHeight="1" x14ac:dyDescent="0.15">
      <c r="A93" s="31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4.25" customHeight="1" x14ac:dyDescent="0.15">
      <c r="A94" s="31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4.25" customHeight="1" x14ac:dyDescent="0.15">
      <c r="A95" s="31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4.25" customHeight="1" x14ac:dyDescent="0.15">
      <c r="A96" s="31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4.25" customHeight="1" x14ac:dyDescent="0.15">
      <c r="A97" s="31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4.25" customHeight="1" x14ac:dyDescent="0.15">
      <c r="A98" s="31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4.25" customHeight="1" x14ac:dyDescent="0.15">
      <c r="A99" s="31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4.25" customHeight="1" x14ac:dyDescent="0.15">
      <c r="A100" s="31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4.25" customHeight="1" x14ac:dyDescent="0.15">
      <c r="A101" s="31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4.25" customHeight="1" x14ac:dyDescent="0.15">
      <c r="A102" s="31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4.25" customHeight="1" x14ac:dyDescent="0.15">
      <c r="A103" s="31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4.25" customHeight="1" x14ac:dyDescent="0.15">
      <c r="A104" s="31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4.25" customHeight="1" x14ac:dyDescent="0.15">
      <c r="A105" s="31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4.25" customHeight="1" x14ac:dyDescent="0.15">
      <c r="A106" s="31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4.25" customHeight="1" x14ac:dyDescent="0.15">
      <c r="A107" s="31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4.25" customHeight="1" x14ac:dyDescent="0.15">
      <c r="A108" s="31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4.25" customHeight="1" x14ac:dyDescent="0.15">
      <c r="A109" s="31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4.25" customHeight="1" x14ac:dyDescent="0.15">
      <c r="A110" s="31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4.25" customHeight="1" x14ac:dyDescent="0.15">
      <c r="A111" s="31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4.25" customHeight="1" x14ac:dyDescent="0.15">
      <c r="A112" s="31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4.25" customHeight="1" x14ac:dyDescent="0.15">
      <c r="A113" s="31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4.25" customHeight="1" x14ac:dyDescent="0.15">
      <c r="A114" s="31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4.25" customHeight="1" x14ac:dyDescent="0.15">
      <c r="A115" s="31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4.25" customHeight="1" x14ac:dyDescent="0.15">
      <c r="A116" s="31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4.25" customHeight="1" x14ac:dyDescent="0.15">
      <c r="A117" s="31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4.25" customHeight="1" x14ac:dyDescent="0.15">
      <c r="A118" s="31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4.25" customHeight="1" x14ac:dyDescent="0.15">
      <c r="A119" s="31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4.25" customHeight="1" x14ac:dyDescent="0.15">
      <c r="A120" s="31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4.25" customHeight="1" x14ac:dyDescent="0.15">
      <c r="A121" s="31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4.25" customHeight="1" x14ac:dyDescent="0.15">
      <c r="A122" s="31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4.25" customHeight="1" x14ac:dyDescent="0.15">
      <c r="A123" s="31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4.25" customHeight="1" x14ac:dyDescent="0.15">
      <c r="A124" s="31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4.25" customHeight="1" x14ac:dyDescent="0.15">
      <c r="A125" s="31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4.25" customHeight="1" x14ac:dyDescent="0.15">
      <c r="A126" s="31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4.25" customHeight="1" x14ac:dyDescent="0.15">
      <c r="A127" s="31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4.25" customHeight="1" x14ac:dyDescent="0.15">
      <c r="A128" s="31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4.25" customHeight="1" x14ac:dyDescent="0.15">
      <c r="A129" s="31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4.25" customHeight="1" x14ac:dyDescent="0.15">
      <c r="A130" s="31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4.25" customHeight="1" x14ac:dyDescent="0.15">
      <c r="A131" s="31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4.25" customHeight="1" x14ac:dyDescent="0.15">
      <c r="A132" s="31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4.25" customHeight="1" x14ac:dyDescent="0.15">
      <c r="A133" s="31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4.25" customHeight="1" x14ac:dyDescent="0.15">
      <c r="A134" s="31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4.25" customHeight="1" x14ac:dyDescent="0.15">
      <c r="A135" s="31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4.25" customHeight="1" x14ac:dyDescent="0.15">
      <c r="A136" s="31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4.25" customHeight="1" x14ac:dyDescent="0.15">
      <c r="A137" s="31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4.25" customHeight="1" x14ac:dyDescent="0.15">
      <c r="A138" s="31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4.25" customHeight="1" x14ac:dyDescent="0.15">
      <c r="A139" s="31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4.25" customHeight="1" x14ac:dyDescent="0.15">
      <c r="A140" s="31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4.25" customHeight="1" x14ac:dyDescent="0.15">
      <c r="A141" s="31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4.25" customHeight="1" x14ac:dyDescent="0.15">
      <c r="A142" s="31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4.25" customHeight="1" x14ac:dyDescent="0.15">
      <c r="A143" s="31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4.25" customHeight="1" x14ac:dyDescent="0.15">
      <c r="A144" s="31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4.25" customHeight="1" x14ac:dyDescent="0.15">
      <c r="A145" s="31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4.25" customHeight="1" x14ac:dyDescent="0.15">
      <c r="A146" s="31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4.25" customHeight="1" x14ac:dyDescent="0.15">
      <c r="A147" s="31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4.25" customHeight="1" x14ac:dyDescent="0.15">
      <c r="A148" s="31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4.25" customHeight="1" x14ac:dyDescent="0.15">
      <c r="A149" s="31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4.25" customHeight="1" x14ac:dyDescent="0.15">
      <c r="A150" s="31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4.25" customHeight="1" x14ac:dyDescent="0.15">
      <c r="A151" s="31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4.25" customHeight="1" x14ac:dyDescent="0.15">
      <c r="A152" s="31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4.25" customHeight="1" x14ac:dyDescent="0.15">
      <c r="A153" s="31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4.25" customHeight="1" x14ac:dyDescent="0.15">
      <c r="A154" s="31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4.25" customHeight="1" x14ac:dyDescent="0.15">
      <c r="A155" s="31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4.25" customHeight="1" x14ac:dyDescent="0.15">
      <c r="A156" s="31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4.25" customHeight="1" x14ac:dyDescent="0.15">
      <c r="A157" s="31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4.25" customHeight="1" x14ac:dyDescent="0.15">
      <c r="A158" s="31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4.25" customHeight="1" x14ac:dyDescent="0.15">
      <c r="A159" s="31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4.25" customHeight="1" x14ac:dyDescent="0.15">
      <c r="A160" s="31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4.25" customHeight="1" x14ac:dyDescent="0.15">
      <c r="A161" s="31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4.25" customHeight="1" x14ac:dyDescent="0.15">
      <c r="A162" s="31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4.25" customHeight="1" x14ac:dyDescent="0.15">
      <c r="A163" s="31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4.25" customHeight="1" x14ac:dyDescent="0.15">
      <c r="A164" s="31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4.25" customHeight="1" x14ac:dyDescent="0.15">
      <c r="A165" s="31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4.25" customHeight="1" x14ac:dyDescent="0.15">
      <c r="A166" s="31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4.25" customHeight="1" x14ac:dyDescent="0.15">
      <c r="A167" s="31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4.25" customHeight="1" x14ac:dyDescent="0.15">
      <c r="A168" s="31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4.25" customHeight="1" x14ac:dyDescent="0.15">
      <c r="A169" s="31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4.25" customHeight="1" x14ac:dyDescent="0.15">
      <c r="A170" s="31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4.25" customHeight="1" x14ac:dyDescent="0.15">
      <c r="A171" s="31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4.25" customHeight="1" x14ac:dyDescent="0.15">
      <c r="A172" s="31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4.25" customHeight="1" x14ac:dyDescent="0.15">
      <c r="A173" s="31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4.25" customHeight="1" x14ac:dyDescent="0.15">
      <c r="A174" s="31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4.25" customHeight="1" x14ac:dyDescent="0.15">
      <c r="A175" s="31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4.25" customHeight="1" x14ac:dyDescent="0.15">
      <c r="A176" s="31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4.25" customHeight="1" x14ac:dyDescent="0.15">
      <c r="A177" s="31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4.25" customHeight="1" x14ac:dyDescent="0.15">
      <c r="A178" s="31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4.25" customHeight="1" x14ac:dyDescent="0.15">
      <c r="A179" s="31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4.25" customHeight="1" x14ac:dyDescent="0.15">
      <c r="A180" s="31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4.25" customHeight="1" x14ac:dyDescent="0.15">
      <c r="A181" s="31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4.25" customHeight="1" x14ac:dyDescent="0.15">
      <c r="A182" s="31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4.25" customHeight="1" x14ac:dyDescent="0.15">
      <c r="A183" s="31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4.25" customHeight="1" x14ac:dyDescent="0.15">
      <c r="A184" s="31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4.25" customHeight="1" x14ac:dyDescent="0.15">
      <c r="A185" s="31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4.25" customHeight="1" x14ac:dyDescent="0.15">
      <c r="A186" s="31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4.25" customHeight="1" x14ac:dyDescent="0.15">
      <c r="A187" s="31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4.25" customHeight="1" x14ac:dyDescent="0.15">
      <c r="A188" s="31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4.25" customHeight="1" x14ac:dyDescent="0.15">
      <c r="A189" s="31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4.25" customHeight="1" x14ac:dyDescent="0.15">
      <c r="A190" s="31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4.25" customHeight="1" x14ac:dyDescent="0.15">
      <c r="A191" s="31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4.25" customHeight="1" x14ac:dyDescent="0.15">
      <c r="A192" s="31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4.25" customHeight="1" x14ac:dyDescent="0.15">
      <c r="A193" s="31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4.25" customHeight="1" x14ac:dyDescent="0.15">
      <c r="A194" s="31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4.25" customHeight="1" x14ac:dyDescent="0.15">
      <c r="A195" s="31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4.25" customHeight="1" x14ac:dyDescent="0.15">
      <c r="A196" s="31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4.25" customHeight="1" x14ac:dyDescent="0.15">
      <c r="A197" s="31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4.25" customHeight="1" x14ac:dyDescent="0.15">
      <c r="A198" s="31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4.25" customHeight="1" x14ac:dyDescent="0.15">
      <c r="A199" s="31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4.25" customHeight="1" x14ac:dyDescent="0.15">
      <c r="A200" s="31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4.25" customHeight="1" x14ac:dyDescent="0.15">
      <c r="A201" s="31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4.25" customHeight="1" x14ac:dyDescent="0.15">
      <c r="A202" s="31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4.25" customHeight="1" x14ac:dyDescent="0.15">
      <c r="A203" s="31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4.25" customHeight="1" x14ac:dyDescent="0.15">
      <c r="A204" s="31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4.25" customHeight="1" x14ac:dyDescent="0.15">
      <c r="A205" s="31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4.25" customHeight="1" x14ac:dyDescent="0.15">
      <c r="A206" s="31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4.25" customHeight="1" x14ac:dyDescent="0.15">
      <c r="A207" s="31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4.25" customHeight="1" x14ac:dyDescent="0.15">
      <c r="A208" s="31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4.25" customHeight="1" x14ac:dyDescent="0.15">
      <c r="A209" s="31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4.25" customHeight="1" x14ac:dyDescent="0.15">
      <c r="A210" s="31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4.25" customHeight="1" x14ac:dyDescent="0.15">
      <c r="A211" s="31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4.25" customHeight="1" x14ac:dyDescent="0.15">
      <c r="A212" s="31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4.25" customHeight="1" x14ac:dyDescent="0.15">
      <c r="A213" s="31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4.25" customHeight="1" x14ac:dyDescent="0.15">
      <c r="A214" s="31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4.25" customHeight="1" x14ac:dyDescent="0.15">
      <c r="A215" s="31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4.25" customHeight="1" x14ac:dyDescent="0.15">
      <c r="A216" s="31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4.25" customHeight="1" x14ac:dyDescent="0.15">
      <c r="A217" s="31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4.25" customHeight="1" x14ac:dyDescent="0.15">
      <c r="A218" s="31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4.25" customHeight="1" x14ac:dyDescent="0.15">
      <c r="A219" s="31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4.25" customHeight="1" x14ac:dyDescent="0.15">
      <c r="A220" s="31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4.25" customHeight="1" x14ac:dyDescent="0.15">
      <c r="A221" s="31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4.25" customHeight="1" x14ac:dyDescent="0.15">
      <c r="A222" s="31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4.25" customHeight="1" x14ac:dyDescent="0.15">
      <c r="A223" s="31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4.25" customHeight="1" x14ac:dyDescent="0.15">
      <c r="A224" s="31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4.25" customHeight="1" x14ac:dyDescent="0.15">
      <c r="A225" s="31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4.25" customHeight="1" x14ac:dyDescent="0.15">
      <c r="A226" s="31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4.25" customHeight="1" x14ac:dyDescent="0.15">
      <c r="A227" s="31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4.25" customHeight="1" x14ac:dyDescent="0.15">
      <c r="A228" s="31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4.25" customHeight="1" x14ac:dyDescent="0.15">
      <c r="A229" s="31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4.25" customHeight="1" x14ac:dyDescent="0.15">
      <c r="A230" s="31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5.75" customHeight="1" x14ac:dyDescent="0.15"/>
    <row r="232" spans="1:26" ht="15.75" customHeight="1" x14ac:dyDescent="0.15"/>
    <row r="233" spans="1:26" ht="15.75" customHeight="1" x14ac:dyDescent="0.15"/>
    <row r="234" spans="1:26" ht="15.75" customHeight="1" x14ac:dyDescent="0.15"/>
    <row r="235" spans="1:26" ht="15.75" customHeight="1" x14ac:dyDescent="0.15"/>
    <row r="236" spans="1:26" ht="15.75" customHeight="1" x14ac:dyDescent="0.15"/>
    <row r="237" spans="1:26" ht="15.75" customHeight="1" x14ac:dyDescent="0.15"/>
    <row r="238" spans="1:26" ht="15.75" customHeight="1" x14ac:dyDescent="0.15"/>
    <row r="239" spans="1:26" ht="15.75" customHeight="1" x14ac:dyDescent="0.15"/>
    <row r="240" spans="1:26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6">
    <mergeCell ref="C28:F31"/>
    <mergeCell ref="B1:C2"/>
    <mergeCell ref="D1:E2"/>
    <mergeCell ref="D3:E3"/>
    <mergeCell ref="D4:E4"/>
    <mergeCell ref="D5:E5"/>
  </mergeCells>
  <conditionalFormatting sqref="K30">
    <cfRule type="cellIs" dxfId="3" priority="1" operator="lessThan">
      <formula>0</formula>
    </cfRule>
  </conditionalFormatting>
  <pageMargins left="0.70866141732283472" right="0.70866141732283472" top="0.74803149606299213" bottom="0.74803149606299213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C1" workbookViewId="0"/>
  </sheetViews>
  <sheetFormatPr defaultColWidth="12.625" defaultRowHeight="15" customHeight="1" x14ac:dyDescent="0.15"/>
  <cols>
    <col min="1" max="1" width="7.98046875" customWidth="1"/>
    <col min="2" max="2" width="16.69140625" customWidth="1"/>
    <col min="3" max="3" width="22.78515625" customWidth="1"/>
    <col min="4" max="4" width="10.73828125" customWidth="1"/>
    <col min="5" max="5" width="15.8203125" customWidth="1"/>
    <col min="6" max="6" width="17.26953125" customWidth="1"/>
    <col min="7" max="7" width="19.59375" customWidth="1"/>
    <col min="8" max="8" width="12.76953125" customWidth="1"/>
    <col min="9" max="9" width="18.43359375" customWidth="1"/>
    <col min="10" max="10" width="14.3671875" customWidth="1"/>
    <col min="11" max="11" width="18.140625" customWidth="1"/>
    <col min="12" max="12" width="9.43359375" customWidth="1"/>
    <col min="13" max="13" width="15.67578125" customWidth="1"/>
    <col min="14" max="33" width="7.98046875" customWidth="1"/>
  </cols>
  <sheetData>
    <row r="1" spans="1:33" ht="14.25" customHeight="1" x14ac:dyDescent="0.15">
      <c r="A1" s="31"/>
      <c r="B1" s="23"/>
      <c r="C1" s="23"/>
      <c r="D1" s="23"/>
      <c r="E1" s="23"/>
      <c r="F1" s="23"/>
      <c r="G1" s="23"/>
      <c r="H1" s="23"/>
      <c r="I1" s="23"/>
      <c r="J1" s="23"/>
      <c r="K1" s="23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</row>
    <row r="2" spans="1:33" ht="14.25" customHeight="1" x14ac:dyDescent="0.15">
      <c r="A2" s="31"/>
      <c r="B2" s="23"/>
      <c r="C2" s="23"/>
      <c r="D2" s="95" t="s">
        <v>78</v>
      </c>
      <c r="E2" s="91"/>
      <c r="F2" s="23"/>
      <c r="G2" s="23"/>
      <c r="H2" s="23"/>
      <c r="I2" s="23"/>
      <c r="J2" s="23"/>
      <c r="K2" s="23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</row>
    <row r="3" spans="1:33" ht="14.25" customHeight="1" x14ac:dyDescent="0.25">
      <c r="A3" s="23"/>
      <c r="B3" s="64"/>
      <c r="C3" s="65"/>
      <c r="D3" s="92"/>
      <c r="E3" s="85"/>
      <c r="F3" s="37"/>
      <c r="G3" s="23"/>
      <c r="H3" s="37"/>
      <c r="I3" s="23"/>
      <c r="J3" s="37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1" t="s">
        <v>79</v>
      </c>
    </row>
    <row r="4" spans="1:33" ht="18.75" customHeight="1" x14ac:dyDescent="0.25">
      <c r="A4" s="23"/>
      <c r="B4" s="64"/>
      <c r="C4" s="53" t="str">
        <f>IF(D2="New Purchase", "Purchase price:","Loan Amount")</f>
        <v>Loan Amount</v>
      </c>
      <c r="D4" s="96">
        <v>8010000</v>
      </c>
      <c r="E4" s="94"/>
      <c r="F4" s="66" t="str">
        <f>IF(OR(D2="New Purchase",D2="Please Select"), "","Property Valution:")</f>
        <v>Property Valution:</v>
      </c>
      <c r="G4" s="67">
        <v>26700000</v>
      </c>
      <c r="H4" s="66" t="str">
        <f>IF(D2="EQL","Outstanding:","")</f>
        <v/>
      </c>
      <c r="I4" s="68"/>
      <c r="J4" s="66" t="str">
        <f>IF(OR(D2="New Purchase",D2="Please Select"),"","Asset Value:")</f>
        <v>Asset Value:</v>
      </c>
      <c r="K4" s="69">
        <f>IF(G4/2-I4-D4&gt;0,G4/2-I4-D4,"No Asset value")</f>
        <v>5340000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 t="s">
        <v>80</v>
      </c>
    </row>
    <row r="5" spans="1:33" ht="14.25" customHeight="1" x14ac:dyDescent="0.2">
      <c r="A5" s="31"/>
      <c r="B5" s="54"/>
      <c r="C5" s="55" t="s">
        <v>81</v>
      </c>
      <c r="D5" s="93"/>
      <c r="E5" s="94"/>
      <c r="F5" s="23"/>
      <c r="G5" s="23"/>
      <c r="H5" s="23"/>
      <c r="I5" s="23"/>
      <c r="J5" s="23"/>
      <c r="K5" s="23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 t="s">
        <v>82</v>
      </c>
    </row>
    <row r="6" spans="1:33" ht="14.25" customHeight="1" x14ac:dyDescent="0.2">
      <c r="A6" s="31"/>
      <c r="B6" s="54"/>
      <c r="C6" s="55" t="s">
        <v>83</v>
      </c>
      <c r="D6" s="93"/>
      <c r="E6" s="94"/>
      <c r="F6" s="23"/>
      <c r="G6" s="23"/>
      <c r="H6" s="23"/>
      <c r="I6" s="23"/>
      <c r="J6" s="23"/>
      <c r="K6" s="23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 t="s">
        <v>78</v>
      </c>
    </row>
    <row r="7" spans="1:33" ht="14.25" customHeight="1" x14ac:dyDescent="0.2">
      <c r="A7" s="31"/>
      <c r="B7" s="54"/>
      <c r="C7" s="55" t="s">
        <v>84</v>
      </c>
      <c r="D7" s="93"/>
      <c r="E7" s="94"/>
      <c r="F7" s="23"/>
      <c r="G7" s="23"/>
      <c r="H7" s="23"/>
      <c r="I7" s="23"/>
      <c r="J7" s="23"/>
      <c r="K7" s="23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 t="s">
        <v>85</v>
      </c>
    </row>
    <row r="8" spans="1:33" ht="14.25" customHeight="1" x14ac:dyDescent="0.15">
      <c r="A8" s="31"/>
      <c r="B8" s="23"/>
      <c r="C8" s="23"/>
      <c r="D8" s="23"/>
      <c r="E8" s="23"/>
      <c r="F8" s="23"/>
      <c r="G8" s="23"/>
      <c r="H8" s="23"/>
      <c r="I8" s="23"/>
      <c r="J8" s="23"/>
      <c r="K8" s="23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</row>
    <row r="9" spans="1:33" ht="14.25" customHeight="1" x14ac:dyDescent="0.15">
      <c r="A9" s="23"/>
      <c r="B9" s="23"/>
      <c r="C9" s="56" t="s">
        <v>52</v>
      </c>
      <c r="D9" s="23"/>
      <c r="E9" s="37" t="s">
        <v>53</v>
      </c>
      <c r="F9" s="57"/>
      <c r="G9" s="37" t="s">
        <v>54</v>
      </c>
      <c r="H9" s="57"/>
      <c r="I9" s="37" t="s">
        <v>55</v>
      </c>
      <c r="J9" s="23"/>
      <c r="K9" s="5" t="s">
        <v>56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</row>
    <row r="10" spans="1:33" ht="14.25" customHeight="1" x14ac:dyDescent="0.15">
      <c r="A10" s="23"/>
      <c r="B10" s="23"/>
      <c r="C10" s="5" t="s">
        <v>57</v>
      </c>
      <c r="D10" s="23"/>
      <c r="E10" s="58"/>
      <c r="F10" s="23"/>
      <c r="G10" s="58">
        <v>3800000</v>
      </c>
      <c r="H10" s="23"/>
      <c r="I10" s="59">
        <v>1</v>
      </c>
      <c r="J10" s="23"/>
      <c r="K10" s="60">
        <f t="shared" ref="K10:K17" si="0">IF(I10="","",IF(G10*I10*50%-E10&gt;0,G10*I10*50%-E10,"No Asset Value"))</f>
        <v>1900000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</row>
    <row r="11" spans="1:33" ht="14.25" customHeight="1" x14ac:dyDescent="0.15">
      <c r="A11" s="23"/>
      <c r="B11" s="23"/>
      <c r="C11" s="5" t="s">
        <v>58</v>
      </c>
      <c r="D11" s="23"/>
      <c r="E11" s="58">
        <v>3048964</v>
      </c>
      <c r="F11" s="23"/>
      <c r="G11" s="58">
        <v>12500000</v>
      </c>
      <c r="H11" s="23"/>
      <c r="I11" s="59">
        <v>1</v>
      </c>
      <c r="J11" s="23"/>
      <c r="K11" s="60">
        <f t="shared" si="0"/>
        <v>3201036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</row>
    <row r="12" spans="1:33" ht="14.25" customHeight="1" x14ac:dyDescent="0.15">
      <c r="A12" s="23"/>
      <c r="B12" s="23"/>
      <c r="C12" s="5" t="s">
        <v>59</v>
      </c>
      <c r="D12" s="23"/>
      <c r="E12" s="58"/>
      <c r="F12" s="23"/>
      <c r="G12" s="58"/>
      <c r="H12" s="23"/>
      <c r="I12" s="59"/>
      <c r="J12" s="23"/>
      <c r="K12" s="60" t="str">
        <f t="shared" si="0"/>
        <v/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</row>
    <row r="13" spans="1:33" ht="14.25" customHeight="1" x14ac:dyDescent="0.15">
      <c r="A13" s="23"/>
      <c r="B13" s="23"/>
      <c r="C13" s="5" t="s">
        <v>60</v>
      </c>
      <c r="D13" s="23"/>
      <c r="E13" s="58"/>
      <c r="F13" s="23"/>
      <c r="G13" s="58"/>
      <c r="H13" s="23"/>
      <c r="I13" s="59"/>
      <c r="J13" s="23"/>
      <c r="K13" s="60" t="str">
        <f t="shared" si="0"/>
        <v/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</row>
    <row r="14" spans="1:33" ht="14.25" customHeight="1" x14ac:dyDescent="0.15">
      <c r="A14" s="23"/>
      <c r="B14" s="23"/>
      <c r="C14" s="5" t="s">
        <v>61</v>
      </c>
      <c r="D14" s="23"/>
      <c r="E14" s="58"/>
      <c r="F14" s="23"/>
      <c r="G14" s="58"/>
      <c r="H14" s="23"/>
      <c r="I14" s="59"/>
      <c r="J14" s="23"/>
      <c r="K14" s="60" t="str">
        <f t="shared" si="0"/>
        <v/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</row>
    <row r="15" spans="1:33" ht="14.25" customHeight="1" x14ac:dyDescent="0.15">
      <c r="A15" s="23"/>
      <c r="B15" s="23"/>
      <c r="C15" s="5" t="s">
        <v>62</v>
      </c>
      <c r="D15" s="23"/>
      <c r="E15" s="58"/>
      <c r="F15" s="23"/>
      <c r="G15" s="58"/>
      <c r="H15" s="23"/>
      <c r="I15" s="59"/>
      <c r="J15" s="23"/>
      <c r="K15" s="60" t="str">
        <f t="shared" si="0"/>
        <v/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</row>
    <row r="16" spans="1:33" ht="14.25" customHeight="1" x14ac:dyDescent="0.15">
      <c r="A16" s="23"/>
      <c r="B16" s="23"/>
      <c r="C16" s="5" t="s">
        <v>63</v>
      </c>
      <c r="D16" s="23"/>
      <c r="E16" s="61"/>
      <c r="F16" s="23"/>
      <c r="G16" s="61"/>
      <c r="H16" s="23"/>
      <c r="I16" s="59"/>
      <c r="J16" s="23"/>
      <c r="K16" s="60" t="str">
        <f t="shared" si="0"/>
        <v/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</row>
    <row r="17" spans="1:33" ht="14.25" customHeight="1" x14ac:dyDescent="0.15">
      <c r="A17" s="23"/>
      <c r="B17" s="23"/>
      <c r="C17" s="5" t="s">
        <v>64</v>
      </c>
      <c r="D17" s="23"/>
      <c r="E17" s="61"/>
      <c r="F17" s="23"/>
      <c r="G17" s="61"/>
      <c r="H17" s="23"/>
      <c r="I17" s="59"/>
      <c r="J17" s="23"/>
      <c r="K17" s="60" t="str">
        <f t="shared" si="0"/>
        <v/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</row>
    <row r="18" spans="1:33" ht="14.25" customHeight="1" x14ac:dyDescent="0.15">
      <c r="A18" s="23"/>
      <c r="B18" s="23"/>
      <c r="C18" s="5"/>
      <c r="D18" s="23"/>
      <c r="E18" s="62"/>
      <c r="F18" s="23"/>
      <c r="G18" s="62"/>
      <c r="H18" s="23"/>
      <c r="I18" s="63"/>
      <c r="J18" s="5" t="s">
        <v>65</v>
      </c>
      <c r="K18" s="60">
        <f>SUM(K4,K10:K17)</f>
        <v>10441036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</row>
    <row r="19" spans="1:33" ht="14.25" customHeight="1" x14ac:dyDescent="0.15">
      <c r="A19" s="23"/>
      <c r="B19" s="23"/>
      <c r="C19" s="5"/>
      <c r="D19" s="23"/>
      <c r="E19" s="62"/>
      <c r="F19" s="23"/>
      <c r="G19" s="62"/>
      <c r="H19" s="23"/>
      <c r="I19" s="63"/>
      <c r="J19" s="23"/>
      <c r="K19" s="62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</row>
    <row r="20" spans="1:33" ht="14.25" customHeight="1" x14ac:dyDescent="0.15">
      <c r="A20" s="23"/>
      <c r="B20" s="23"/>
      <c r="C20" s="23"/>
      <c r="D20" s="23"/>
      <c r="E20" s="31" t="s">
        <v>66</v>
      </c>
      <c r="F20" s="57"/>
      <c r="G20" s="31" t="s">
        <v>33</v>
      </c>
      <c r="H20" s="57"/>
      <c r="I20" s="37" t="s">
        <v>67</v>
      </c>
      <c r="J20" s="23"/>
      <c r="K20" s="5" t="s">
        <v>56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</row>
    <row r="21" spans="1:33" ht="14.25" customHeight="1" x14ac:dyDescent="0.15">
      <c r="A21" s="23"/>
      <c r="B21" s="23"/>
      <c r="C21" s="5" t="s">
        <v>68</v>
      </c>
      <c r="D21" s="23"/>
      <c r="E21" s="58"/>
      <c r="F21" s="23"/>
      <c r="G21" s="58">
        <v>3500000</v>
      </c>
      <c r="H21" s="23"/>
      <c r="I21" s="59">
        <v>1</v>
      </c>
      <c r="J21" s="23"/>
      <c r="K21" s="60">
        <f t="shared" ref="K21:K28" si="1">IF(AND(E21="",G21=""),"",MIN(E21,G21)*I21)</f>
        <v>3500000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</row>
    <row r="22" spans="1:33" ht="14.25" customHeight="1" x14ac:dyDescent="0.15">
      <c r="A22" s="23"/>
      <c r="B22" s="23"/>
      <c r="C22" s="5" t="s">
        <v>69</v>
      </c>
      <c r="D22" s="23"/>
      <c r="E22" s="58"/>
      <c r="F22" s="23"/>
      <c r="G22" s="58">
        <v>2000000</v>
      </c>
      <c r="H22" s="23"/>
      <c r="I22" s="59">
        <v>1</v>
      </c>
      <c r="J22" s="23"/>
      <c r="K22" s="60">
        <f t="shared" si="1"/>
        <v>2000000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</row>
    <row r="23" spans="1:33" ht="14.25" customHeight="1" x14ac:dyDescent="0.15">
      <c r="A23" s="23"/>
      <c r="B23" s="23"/>
      <c r="C23" s="5" t="s">
        <v>70</v>
      </c>
      <c r="D23" s="23"/>
      <c r="E23" s="58"/>
      <c r="F23" s="23"/>
      <c r="G23" s="58"/>
      <c r="H23" s="23"/>
      <c r="I23" s="59"/>
      <c r="J23" s="23"/>
      <c r="K23" s="60" t="str">
        <f t="shared" si="1"/>
        <v/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</row>
    <row r="24" spans="1:33" ht="14.25" customHeight="1" x14ac:dyDescent="0.15">
      <c r="A24" s="23"/>
      <c r="B24" s="23"/>
      <c r="C24" s="5" t="s">
        <v>71</v>
      </c>
      <c r="D24" s="23"/>
      <c r="E24" s="58"/>
      <c r="F24" s="23"/>
      <c r="G24" s="58"/>
      <c r="H24" s="23"/>
      <c r="I24" s="59"/>
      <c r="J24" s="23"/>
      <c r="K24" s="60" t="str">
        <f t="shared" si="1"/>
        <v/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</row>
    <row r="25" spans="1:33" ht="14.25" customHeight="1" x14ac:dyDescent="0.15">
      <c r="A25" s="23"/>
      <c r="B25" s="23"/>
      <c r="C25" s="5" t="s">
        <v>72</v>
      </c>
      <c r="D25" s="23"/>
      <c r="E25" s="58"/>
      <c r="F25" s="23"/>
      <c r="G25" s="58"/>
      <c r="H25" s="23"/>
      <c r="I25" s="59"/>
      <c r="J25" s="23"/>
      <c r="K25" s="60" t="str">
        <f t="shared" si="1"/>
        <v/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</row>
    <row r="26" spans="1:33" ht="14.25" customHeight="1" x14ac:dyDescent="0.15">
      <c r="A26" s="23"/>
      <c r="B26" s="23"/>
      <c r="C26" s="5" t="s">
        <v>73</v>
      </c>
      <c r="D26" s="23"/>
      <c r="E26" s="58"/>
      <c r="F26" s="23"/>
      <c r="G26" s="58"/>
      <c r="H26" s="23"/>
      <c r="I26" s="59"/>
      <c r="J26" s="23"/>
      <c r="K26" s="60" t="str">
        <f t="shared" si="1"/>
        <v/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</row>
    <row r="27" spans="1:33" ht="14.25" customHeight="1" x14ac:dyDescent="0.15">
      <c r="A27" s="23"/>
      <c r="B27" s="23"/>
      <c r="C27" s="5" t="s">
        <v>74</v>
      </c>
      <c r="D27" s="23"/>
      <c r="E27" s="58"/>
      <c r="F27" s="23"/>
      <c r="G27" s="58"/>
      <c r="H27" s="23"/>
      <c r="I27" s="59"/>
      <c r="J27" s="23"/>
      <c r="K27" s="60" t="str">
        <f t="shared" si="1"/>
        <v/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</row>
    <row r="28" spans="1:33" ht="14.25" customHeight="1" x14ac:dyDescent="0.15">
      <c r="A28" s="23"/>
      <c r="B28" s="23"/>
      <c r="C28" s="5" t="s">
        <v>75</v>
      </c>
      <c r="D28" s="23"/>
      <c r="E28" s="58"/>
      <c r="F28" s="23"/>
      <c r="G28" s="58"/>
      <c r="H28" s="23"/>
      <c r="I28" s="59"/>
      <c r="J28" s="23"/>
      <c r="K28" s="60" t="str">
        <f t="shared" si="1"/>
        <v/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 spans="1:33" ht="14.25" customHeight="1" x14ac:dyDescent="0.15">
      <c r="A29" s="23"/>
      <c r="B29" s="23"/>
      <c r="C29" s="23"/>
      <c r="D29" s="23"/>
      <c r="E29" s="23"/>
      <c r="F29" s="23"/>
      <c r="G29" s="23"/>
      <c r="H29" s="23"/>
      <c r="I29" s="23"/>
      <c r="J29" s="5" t="s">
        <v>76</v>
      </c>
      <c r="K29" s="60">
        <f>SUM(K21:K28)</f>
        <v>5500000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 spans="1:33" ht="14.25" customHeight="1" x14ac:dyDescent="0.2">
      <c r="A30" s="31"/>
      <c r="B30" s="31"/>
      <c r="C30" s="88" t="str">
        <f>IF(D4="","Input Loan Amount",IF(K32&gt;0,"ABL Should Be OK","please provide more asset"))</f>
        <v>ABL Should Be OK</v>
      </c>
      <c r="D30" s="85"/>
      <c r="E30" s="85"/>
      <c r="F30" s="85"/>
      <c r="G30" s="23"/>
      <c r="H30" s="23"/>
      <c r="I30" s="23"/>
      <c r="J30" s="42"/>
      <c r="K30" s="62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</row>
    <row r="31" spans="1:33" ht="14.25" customHeight="1" x14ac:dyDescent="0.15">
      <c r="A31" s="31"/>
      <c r="B31" s="31"/>
      <c r="C31" s="85"/>
      <c r="D31" s="85"/>
      <c r="E31" s="85"/>
      <c r="F31" s="85"/>
      <c r="G31" s="23"/>
      <c r="H31" s="23"/>
      <c r="I31" s="23"/>
      <c r="J31" s="23"/>
      <c r="K31" s="23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</row>
    <row r="32" spans="1:33" ht="14.25" customHeight="1" x14ac:dyDescent="0.2">
      <c r="A32" s="31"/>
      <c r="B32" s="31"/>
      <c r="C32" s="85"/>
      <c r="D32" s="85"/>
      <c r="E32" s="85"/>
      <c r="F32" s="85"/>
      <c r="G32" s="23"/>
      <c r="H32" s="23"/>
      <c r="I32" s="23"/>
      <c r="J32" s="42" t="s">
        <v>77</v>
      </c>
      <c r="K32" s="60">
        <f>K18+K29-D4-D5-D6-D7-I4</f>
        <v>7931036</v>
      </c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</row>
    <row r="33" spans="1:33" ht="14.25" customHeight="1" x14ac:dyDescent="0.15">
      <c r="A33" s="31"/>
      <c r="B33" s="31"/>
      <c r="C33" s="85"/>
      <c r="D33" s="85"/>
      <c r="E33" s="85"/>
      <c r="F33" s="85"/>
      <c r="G33" s="23"/>
      <c r="H33" s="23"/>
      <c r="I33" s="23"/>
      <c r="J33" s="23"/>
      <c r="K33" s="23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34" spans="1:33" ht="14.25" customHeight="1" x14ac:dyDescent="0.15">
      <c r="A34" s="31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</row>
    <row r="35" spans="1:33" ht="14.25" customHeight="1" x14ac:dyDescent="0.15">
      <c r="A35" s="31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</row>
    <row r="36" spans="1:33" ht="14.25" customHeight="1" x14ac:dyDescent="0.15">
      <c r="A36" s="31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</row>
    <row r="37" spans="1:33" ht="14.25" customHeight="1" x14ac:dyDescent="0.1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</row>
    <row r="38" spans="1:33" ht="14.25" customHeight="1" x14ac:dyDescent="0.1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 spans="1:33" ht="14.25" customHeight="1" x14ac:dyDescent="0.1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</row>
    <row r="40" spans="1:33" ht="14.25" customHeight="1" x14ac:dyDescent="0.1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 spans="1:33" ht="14.25" customHeight="1" x14ac:dyDescent="0.1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 spans="1:33" ht="14.25" customHeight="1" x14ac:dyDescent="0.1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</row>
    <row r="43" spans="1:33" ht="14.25" customHeight="1" x14ac:dyDescent="0.1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3" ht="14.25" customHeight="1" x14ac:dyDescent="0.1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3" ht="14.25" customHeight="1" x14ac:dyDescent="0.1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 ht="14.25" customHeight="1" x14ac:dyDescent="0.1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 spans="1:33" ht="14.25" customHeight="1" x14ac:dyDescent="0.15">
      <c r="A47" s="31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</row>
    <row r="48" spans="1:33" ht="14.25" customHeight="1" x14ac:dyDescent="0.15">
      <c r="A48" s="31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</row>
    <row r="49" spans="1:33" ht="14.25" customHeight="1" x14ac:dyDescent="0.15">
      <c r="A49" s="31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</row>
    <row r="50" spans="1:33" ht="14.25" customHeight="1" x14ac:dyDescent="0.15">
      <c r="A50" s="31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</row>
    <row r="51" spans="1:33" ht="14.25" customHeight="1" x14ac:dyDescent="0.15">
      <c r="A51" s="31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</row>
    <row r="52" spans="1:33" ht="14.25" customHeight="1" x14ac:dyDescent="0.15">
      <c r="A52" s="31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</row>
    <row r="53" spans="1:33" ht="14.25" customHeight="1" x14ac:dyDescent="0.15">
      <c r="A53" s="31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</row>
    <row r="54" spans="1:33" ht="14.25" customHeight="1" x14ac:dyDescent="0.15">
      <c r="A54" s="31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</row>
    <row r="55" spans="1:33" ht="14.25" customHeight="1" x14ac:dyDescent="0.15">
      <c r="A55" s="31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</row>
    <row r="56" spans="1:33" ht="14.25" customHeight="1" x14ac:dyDescent="0.15">
      <c r="A56" s="31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</row>
    <row r="57" spans="1:33" ht="14.25" customHeight="1" x14ac:dyDescent="0.15">
      <c r="A57" s="31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</row>
    <row r="58" spans="1:33" ht="14.25" customHeight="1" x14ac:dyDescent="0.15">
      <c r="A58" s="31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</row>
    <row r="59" spans="1:33" ht="14.25" customHeight="1" x14ac:dyDescent="0.15">
      <c r="A59" s="31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</row>
    <row r="60" spans="1:33" ht="14.25" customHeight="1" x14ac:dyDescent="0.15">
      <c r="A60" s="31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</row>
    <row r="61" spans="1:33" ht="14.25" customHeight="1" x14ac:dyDescent="0.15">
      <c r="A61" s="31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</row>
    <row r="62" spans="1:33" ht="14.25" customHeight="1" x14ac:dyDescent="0.15">
      <c r="A62" s="31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</row>
    <row r="63" spans="1:33" ht="14.25" customHeight="1" x14ac:dyDescent="0.15">
      <c r="A63" s="31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</row>
    <row r="64" spans="1:33" ht="14.25" customHeight="1" x14ac:dyDescent="0.15">
      <c r="A64" s="31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</row>
    <row r="65" spans="1:33" ht="14.25" customHeight="1" x14ac:dyDescent="0.15">
      <c r="A65" s="31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</row>
    <row r="66" spans="1:33" ht="14.25" customHeight="1" x14ac:dyDescent="0.15">
      <c r="A66" s="31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</row>
    <row r="67" spans="1:33" ht="14.25" customHeight="1" x14ac:dyDescent="0.15">
      <c r="A67" s="31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</row>
    <row r="68" spans="1:33" ht="14.25" customHeight="1" x14ac:dyDescent="0.15">
      <c r="A68" s="31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</row>
    <row r="69" spans="1:33" ht="14.25" customHeight="1" x14ac:dyDescent="0.15">
      <c r="A69" s="31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</row>
    <row r="70" spans="1:33" ht="14.25" customHeight="1" x14ac:dyDescent="0.15">
      <c r="A70" s="31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</row>
    <row r="71" spans="1:33" ht="14.25" customHeight="1" x14ac:dyDescent="0.15">
      <c r="A71" s="31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</row>
    <row r="72" spans="1:33" ht="14.25" customHeight="1" x14ac:dyDescent="0.15">
      <c r="A72" s="31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</row>
    <row r="73" spans="1:33" ht="14.25" customHeight="1" x14ac:dyDescent="0.15">
      <c r="A73" s="31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</row>
    <row r="74" spans="1:33" ht="14.25" customHeight="1" x14ac:dyDescent="0.15">
      <c r="A74" s="31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</row>
    <row r="75" spans="1:33" ht="14.25" customHeight="1" x14ac:dyDescent="0.15">
      <c r="A75" s="31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</row>
    <row r="76" spans="1:33" ht="14.25" customHeight="1" x14ac:dyDescent="0.15">
      <c r="A76" s="31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</row>
    <row r="77" spans="1:33" ht="14.25" customHeight="1" x14ac:dyDescent="0.15">
      <c r="A77" s="31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</row>
    <row r="78" spans="1:33" ht="14.25" customHeight="1" x14ac:dyDescent="0.15">
      <c r="A78" s="31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</row>
    <row r="79" spans="1:33" ht="14.25" customHeight="1" x14ac:dyDescent="0.15">
      <c r="A79" s="31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</row>
    <row r="80" spans="1:33" ht="14.25" customHeight="1" x14ac:dyDescent="0.15">
      <c r="A80" s="31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</row>
    <row r="81" spans="1:33" ht="14.25" customHeight="1" x14ac:dyDescent="0.15">
      <c r="A81" s="31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</row>
    <row r="82" spans="1:33" ht="14.25" customHeight="1" x14ac:dyDescent="0.15">
      <c r="A82" s="31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</row>
    <row r="83" spans="1:33" ht="14.25" customHeight="1" x14ac:dyDescent="0.15">
      <c r="A83" s="31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</row>
    <row r="84" spans="1:33" ht="14.25" customHeight="1" x14ac:dyDescent="0.15">
      <c r="A84" s="31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</row>
    <row r="85" spans="1:33" ht="14.25" customHeight="1" x14ac:dyDescent="0.15">
      <c r="A85" s="31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</row>
    <row r="86" spans="1:33" ht="14.25" customHeight="1" x14ac:dyDescent="0.15">
      <c r="A86" s="31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</row>
    <row r="87" spans="1:33" ht="14.25" customHeight="1" x14ac:dyDescent="0.15">
      <c r="A87" s="31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</row>
    <row r="88" spans="1:33" ht="14.25" customHeight="1" x14ac:dyDescent="0.15">
      <c r="A88" s="31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</row>
    <row r="89" spans="1:33" ht="14.25" customHeight="1" x14ac:dyDescent="0.15">
      <c r="A89" s="31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</row>
    <row r="90" spans="1:33" ht="14.25" customHeight="1" x14ac:dyDescent="0.15">
      <c r="A90" s="31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</row>
    <row r="91" spans="1:33" ht="14.25" customHeight="1" x14ac:dyDescent="0.15">
      <c r="A91" s="31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</row>
    <row r="92" spans="1:33" ht="14.25" customHeight="1" x14ac:dyDescent="0.15">
      <c r="A92" s="31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</row>
    <row r="93" spans="1:33" ht="14.25" customHeight="1" x14ac:dyDescent="0.15">
      <c r="A93" s="31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</row>
    <row r="94" spans="1:33" ht="14.25" customHeight="1" x14ac:dyDescent="0.15">
      <c r="A94" s="31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</row>
    <row r="95" spans="1:33" ht="14.25" customHeight="1" x14ac:dyDescent="0.15">
      <c r="A95" s="31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</row>
    <row r="96" spans="1:33" ht="14.25" customHeight="1" x14ac:dyDescent="0.15">
      <c r="A96" s="31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</row>
    <row r="97" spans="1:33" ht="14.25" customHeight="1" x14ac:dyDescent="0.15">
      <c r="A97" s="31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</row>
    <row r="98" spans="1:33" ht="14.25" customHeight="1" x14ac:dyDescent="0.15">
      <c r="A98" s="31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</row>
    <row r="99" spans="1:33" ht="14.25" customHeight="1" x14ac:dyDescent="0.15">
      <c r="A99" s="31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</row>
    <row r="100" spans="1:33" ht="14.25" customHeight="1" x14ac:dyDescent="0.15">
      <c r="A100" s="31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</row>
    <row r="101" spans="1:33" ht="14.25" customHeight="1" x14ac:dyDescent="0.15">
      <c r="A101" s="31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</row>
    <row r="102" spans="1:33" ht="14.25" customHeight="1" x14ac:dyDescent="0.15">
      <c r="A102" s="31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</row>
    <row r="103" spans="1:33" ht="14.25" customHeight="1" x14ac:dyDescent="0.15">
      <c r="A103" s="31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</row>
    <row r="104" spans="1:33" ht="14.25" customHeight="1" x14ac:dyDescent="0.15">
      <c r="A104" s="31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</row>
    <row r="105" spans="1:33" ht="14.25" customHeight="1" x14ac:dyDescent="0.15">
      <c r="A105" s="31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</row>
    <row r="106" spans="1:33" ht="14.25" customHeight="1" x14ac:dyDescent="0.15">
      <c r="A106" s="31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</row>
    <row r="107" spans="1:33" ht="14.25" customHeight="1" x14ac:dyDescent="0.15">
      <c r="A107" s="31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</row>
    <row r="108" spans="1:33" ht="14.25" customHeight="1" x14ac:dyDescent="0.15">
      <c r="A108" s="31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</row>
    <row r="109" spans="1:33" ht="14.25" customHeight="1" x14ac:dyDescent="0.15">
      <c r="A109" s="31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</row>
    <row r="110" spans="1:33" ht="14.25" customHeight="1" x14ac:dyDescent="0.15">
      <c r="A110" s="31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</row>
    <row r="111" spans="1:33" ht="14.25" customHeight="1" x14ac:dyDescent="0.15">
      <c r="A111" s="31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</row>
    <row r="112" spans="1:33" ht="14.25" customHeight="1" x14ac:dyDescent="0.15">
      <c r="A112" s="31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</row>
    <row r="113" spans="1:33" ht="14.25" customHeight="1" x14ac:dyDescent="0.15">
      <c r="A113" s="31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</row>
    <row r="114" spans="1:33" ht="14.25" customHeight="1" x14ac:dyDescent="0.15">
      <c r="A114" s="31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</row>
    <row r="115" spans="1:33" ht="14.25" customHeight="1" x14ac:dyDescent="0.15">
      <c r="A115" s="31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</row>
    <row r="116" spans="1:33" ht="14.25" customHeight="1" x14ac:dyDescent="0.15">
      <c r="A116" s="31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</row>
    <row r="117" spans="1:33" ht="14.25" customHeight="1" x14ac:dyDescent="0.15">
      <c r="A117" s="31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</row>
    <row r="118" spans="1:33" ht="14.25" customHeight="1" x14ac:dyDescent="0.15">
      <c r="A118" s="31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</row>
    <row r="119" spans="1:33" ht="14.25" customHeight="1" x14ac:dyDescent="0.15">
      <c r="A119" s="31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</row>
    <row r="120" spans="1:33" ht="14.25" customHeight="1" x14ac:dyDescent="0.15">
      <c r="A120" s="31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</row>
    <row r="121" spans="1:33" ht="14.25" customHeight="1" x14ac:dyDescent="0.15">
      <c r="A121" s="31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</row>
    <row r="122" spans="1:33" ht="14.25" customHeight="1" x14ac:dyDescent="0.15">
      <c r="A122" s="31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</row>
    <row r="123" spans="1:33" ht="14.25" customHeight="1" x14ac:dyDescent="0.15">
      <c r="A123" s="31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</row>
    <row r="124" spans="1:33" ht="14.25" customHeight="1" x14ac:dyDescent="0.15">
      <c r="A124" s="31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</row>
    <row r="125" spans="1:33" ht="14.25" customHeight="1" x14ac:dyDescent="0.15">
      <c r="A125" s="31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</row>
    <row r="126" spans="1:33" ht="14.25" customHeight="1" x14ac:dyDescent="0.15">
      <c r="A126" s="31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</row>
    <row r="127" spans="1:33" ht="14.25" customHeight="1" x14ac:dyDescent="0.15">
      <c r="A127" s="31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</row>
    <row r="128" spans="1:33" ht="14.25" customHeight="1" x14ac:dyDescent="0.15">
      <c r="A128" s="31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</row>
    <row r="129" spans="1:33" ht="14.25" customHeight="1" x14ac:dyDescent="0.15">
      <c r="A129" s="31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</row>
    <row r="130" spans="1:33" ht="14.25" customHeight="1" x14ac:dyDescent="0.15">
      <c r="A130" s="31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</row>
    <row r="131" spans="1:33" ht="14.25" customHeight="1" x14ac:dyDescent="0.15">
      <c r="A131" s="31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</row>
    <row r="132" spans="1:33" ht="14.25" customHeight="1" x14ac:dyDescent="0.15">
      <c r="A132" s="31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</row>
    <row r="133" spans="1:33" ht="14.25" customHeight="1" x14ac:dyDescent="0.15">
      <c r="A133" s="31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</row>
    <row r="134" spans="1:33" ht="14.25" customHeight="1" x14ac:dyDescent="0.15">
      <c r="A134" s="31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</row>
    <row r="135" spans="1:33" ht="14.25" customHeight="1" x14ac:dyDescent="0.15">
      <c r="A135" s="31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</row>
    <row r="136" spans="1:33" ht="14.25" customHeight="1" x14ac:dyDescent="0.15">
      <c r="A136" s="31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</row>
    <row r="137" spans="1:33" ht="14.25" customHeight="1" x14ac:dyDescent="0.15">
      <c r="A137" s="31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</row>
    <row r="138" spans="1:33" ht="14.25" customHeight="1" x14ac:dyDescent="0.15">
      <c r="A138" s="31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</row>
    <row r="139" spans="1:33" ht="14.25" customHeight="1" x14ac:dyDescent="0.15">
      <c r="A139" s="31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</row>
    <row r="140" spans="1:33" ht="14.25" customHeight="1" x14ac:dyDescent="0.15">
      <c r="A140" s="31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</row>
    <row r="141" spans="1:33" ht="14.25" customHeight="1" x14ac:dyDescent="0.15">
      <c r="A141" s="31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</row>
    <row r="142" spans="1:33" ht="14.25" customHeight="1" x14ac:dyDescent="0.15">
      <c r="A142" s="31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</row>
    <row r="143" spans="1:33" ht="14.25" customHeight="1" x14ac:dyDescent="0.15">
      <c r="A143" s="31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</row>
    <row r="144" spans="1:33" ht="14.25" customHeight="1" x14ac:dyDescent="0.15">
      <c r="A144" s="31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</row>
    <row r="145" spans="1:33" ht="14.25" customHeight="1" x14ac:dyDescent="0.15">
      <c r="A145" s="31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</row>
    <row r="146" spans="1:33" ht="14.25" customHeight="1" x14ac:dyDescent="0.15">
      <c r="A146" s="31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</row>
    <row r="147" spans="1:33" ht="14.25" customHeight="1" x14ac:dyDescent="0.15">
      <c r="A147" s="31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</row>
    <row r="148" spans="1:33" ht="14.25" customHeight="1" x14ac:dyDescent="0.15">
      <c r="A148" s="31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</row>
    <row r="149" spans="1:33" ht="14.25" customHeight="1" x14ac:dyDescent="0.15">
      <c r="A149" s="31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</row>
    <row r="150" spans="1:33" ht="14.25" customHeight="1" x14ac:dyDescent="0.15">
      <c r="A150" s="31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</row>
    <row r="151" spans="1:33" ht="14.25" customHeight="1" x14ac:dyDescent="0.15">
      <c r="A151" s="31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</row>
    <row r="152" spans="1:33" ht="14.25" customHeight="1" x14ac:dyDescent="0.15">
      <c r="A152" s="31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</row>
    <row r="153" spans="1:33" ht="14.25" customHeight="1" x14ac:dyDescent="0.15">
      <c r="A153" s="31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</row>
    <row r="154" spans="1:33" ht="14.25" customHeight="1" x14ac:dyDescent="0.15">
      <c r="A154" s="31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</row>
    <row r="155" spans="1:33" ht="14.25" customHeight="1" x14ac:dyDescent="0.15">
      <c r="A155" s="31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</row>
    <row r="156" spans="1:33" ht="14.25" customHeight="1" x14ac:dyDescent="0.15">
      <c r="A156" s="31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</row>
    <row r="157" spans="1:33" ht="14.25" customHeight="1" x14ac:dyDescent="0.15">
      <c r="A157" s="31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</row>
    <row r="158" spans="1:33" ht="14.25" customHeight="1" x14ac:dyDescent="0.15">
      <c r="A158" s="31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</row>
    <row r="159" spans="1:33" ht="14.25" customHeight="1" x14ac:dyDescent="0.15">
      <c r="A159" s="31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</row>
    <row r="160" spans="1:33" ht="14.25" customHeight="1" x14ac:dyDescent="0.15">
      <c r="A160" s="31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</row>
    <row r="161" spans="1:33" ht="14.25" customHeight="1" x14ac:dyDescent="0.15">
      <c r="A161" s="31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</row>
    <row r="162" spans="1:33" ht="14.25" customHeight="1" x14ac:dyDescent="0.15">
      <c r="A162" s="31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</row>
    <row r="163" spans="1:33" ht="14.25" customHeight="1" x14ac:dyDescent="0.15">
      <c r="A163" s="31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</row>
    <row r="164" spans="1:33" ht="14.25" customHeight="1" x14ac:dyDescent="0.15">
      <c r="A164" s="31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</row>
    <row r="165" spans="1:33" ht="14.25" customHeight="1" x14ac:dyDescent="0.15">
      <c r="A165" s="31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</row>
    <row r="166" spans="1:33" ht="14.25" customHeight="1" x14ac:dyDescent="0.15">
      <c r="A166" s="31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</row>
    <row r="167" spans="1:33" ht="14.25" customHeight="1" x14ac:dyDescent="0.15">
      <c r="A167" s="31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</row>
    <row r="168" spans="1:33" ht="14.25" customHeight="1" x14ac:dyDescent="0.15">
      <c r="A168" s="31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</row>
    <row r="169" spans="1:33" ht="14.25" customHeight="1" x14ac:dyDescent="0.15">
      <c r="A169" s="31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</row>
    <row r="170" spans="1:33" ht="14.25" customHeight="1" x14ac:dyDescent="0.15">
      <c r="A170" s="31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</row>
    <row r="171" spans="1:33" ht="14.25" customHeight="1" x14ac:dyDescent="0.15">
      <c r="A171" s="31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</row>
    <row r="172" spans="1:33" ht="14.25" customHeight="1" x14ac:dyDescent="0.15">
      <c r="A172" s="31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</row>
    <row r="173" spans="1:33" ht="14.25" customHeight="1" x14ac:dyDescent="0.15">
      <c r="A173" s="31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</row>
    <row r="174" spans="1:33" ht="14.25" customHeight="1" x14ac:dyDescent="0.15">
      <c r="A174" s="31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</row>
    <row r="175" spans="1:33" ht="14.25" customHeight="1" x14ac:dyDescent="0.15">
      <c r="A175" s="31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</row>
    <row r="176" spans="1:33" ht="14.25" customHeight="1" x14ac:dyDescent="0.15">
      <c r="A176" s="31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</row>
    <row r="177" spans="1:33" ht="14.25" customHeight="1" x14ac:dyDescent="0.15">
      <c r="A177" s="31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</row>
    <row r="178" spans="1:33" ht="14.25" customHeight="1" x14ac:dyDescent="0.15">
      <c r="A178" s="31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</row>
    <row r="179" spans="1:33" ht="14.25" customHeight="1" x14ac:dyDescent="0.15">
      <c r="A179" s="31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</row>
    <row r="180" spans="1:33" ht="14.25" customHeight="1" x14ac:dyDescent="0.15">
      <c r="A180" s="31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</row>
    <row r="181" spans="1:33" ht="14.25" customHeight="1" x14ac:dyDescent="0.15">
      <c r="A181" s="31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</row>
    <row r="182" spans="1:33" ht="14.25" customHeight="1" x14ac:dyDescent="0.15">
      <c r="A182" s="31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</row>
    <row r="183" spans="1:33" ht="14.25" customHeight="1" x14ac:dyDescent="0.15">
      <c r="A183" s="31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</row>
    <row r="184" spans="1:33" ht="14.25" customHeight="1" x14ac:dyDescent="0.15">
      <c r="A184" s="31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</row>
    <row r="185" spans="1:33" ht="14.25" customHeight="1" x14ac:dyDescent="0.15">
      <c r="A185" s="31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</row>
    <row r="186" spans="1:33" ht="14.25" customHeight="1" x14ac:dyDescent="0.15">
      <c r="A186" s="31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</row>
    <row r="187" spans="1:33" ht="14.25" customHeight="1" x14ac:dyDescent="0.15">
      <c r="A187" s="31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</row>
    <row r="188" spans="1:33" ht="14.25" customHeight="1" x14ac:dyDescent="0.15">
      <c r="A188" s="31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</row>
    <row r="189" spans="1:33" ht="14.25" customHeight="1" x14ac:dyDescent="0.15">
      <c r="A189" s="31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</row>
    <row r="190" spans="1:33" ht="14.25" customHeight="1" x14ac:dyDescent="0.15">
      <c r="A190" s="31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</row>
    <row r="191" spans="1:33" ht="14.25" customHeight="1" x14ac:dyDescent="0.15">
      <c r="A191" s="31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</row>
    <row r="192" spans="1:33" ht="14.25" customHeight="1" x14ac:dyDescent="0.15">
      <c r="A192" s="31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</row>
    <row r="193" spans="1:33" ht="14.25" customHeight="1" x14ac:dyDescent="0.15">
      <c r="A193" s="31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</row>
    <row r="194" spans="1:33" ht="14.25" customHeight="1" x14ac:dyDescent="0.15">
      <c r="A194" s="31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</row>
    <row r="195" spans="1:33" ht="14.25" customHeight="1" x14ac:dyDescent="0.15">
      <c r="A195" s="31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</row>
    <row r="196" spans="1:33" ht="14.25" customHeight="1" x14ac:dyDescent="0.15">
      <c r="A196" s="31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</row>
    <row r="197" spans="1:33" ht="14.25" customHeight="1" x14ac:dyDescent="0.15">
      <c r="A197" s="31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</row>
    <row r="198" spans="1:33" ht="14.25" customHeight="1" x14ac:dyDescent="0.15">
      <c r="A198" s="31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</row>
    <row r="199" spans="1:33" ht="14.25" customHeight="1" x14ac:dyDescent="0.15">
      <c r="A199" s="31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</row>
    <row r="200" spans="1:33" ht="14.25" customHeight="1" x14ac:dyDescent="0.15">
      <c r="A200" s="31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</row>
    <row r="201" spans="1:33" ht="14.25" customHeight="1" x14ac:dyDescent="0.15">
      <c r="A201" s="31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</row>
    <row r="202" spans="1:33" ht="14.25" customHeight="1" x14ac:dyDescent="0.15">
      <c r="A202" s="31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</row>
    <row r="203" spans="1:33" ht="14.25" customHeight="1" x14ac:dyDescent="0.15">
      <c r="A203" s="31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</row>
    <row r="204" spans="1:33" ht="14.25" customHeight="1" x14ac:dyDescent="0.15">
      <c r="A204" s="31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</row>
    <row r="205" spans="1:33" ht="14.25" customHeight="1" x14ac:dyDescent="0.15">
      <c r="A205" s="31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</row>
    <row r="206" spans="1:33" ht="14.25" customHeight="1" x14ac:dyDescent="0.15">
      <c r="A206" s="31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</row>
    <row r="207" spans="1:33" ht="14.25" customHeight="1" x14ac:dyDescent="0.15">
      <c r="A207" s="31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</row>
    <row r="208" spans="1:33" ht="14.25" customHeight="1" x14ac:dyDescent="0.15">
      <c r="A208" s="31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</row>
    <row r="209" spans="1:33" ht="14.25" customHeight="1" x14ac:dyDescent="0.15">
      <c r="A209" s="31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</row>
    <row r="210" spans="1:33" ht="14.25" customHeight="1" x14ac:dyDescent="0.15">
      <c r="A210" s="31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</row>
    <row r="211" spans="1:33" ht="14.25" customHeight="1" x14ac:dyDescent="0.15">
      <c r="A211" s="31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</row>
    <row r="212" spans="1:33" ht="14.25" customHeight="1" x14ac:dyDescent="0.15">
      <c r="A212" s="31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</row>
    <row r="213" spans="1:33" ht="14.25" customHeight="1" x14ac:dyDescent="0.15">
      <c r="A213" s="31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</row>
    <row r="214" spans="1:33" ht="14.25" customHeight="1" x14ac:dyDescent="0.15">
      <c r="A214" s="31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</row>
    <row r="215" spans="1:33" ht="14.25" customHeight="1" x14ac:dyDescent="0.15">
      <c r="A215" s="31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</row>
    <row r="216" spans="1:33" ht="14.25" customHeight="1" x14ac:dyDescent="0.15">
      <c r="A216" s="31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</row>
    <row r="217" spans="1:33" ht="14.25" customHeight="1" x14ac:dyDescent="0.15">
      <c r="A217" s="31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</row>
    <row r="218" spans="1:33" ht="14.25" customHeight="1" x14ac:dyDescent="0.15">
      <c r="A218" s="31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</row>
    <row r="219" spans="1:33" ht="14.25" customHeight="1" x14ac:dyDescent="0.15">
      <c r="A219" s="31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</row>
    <row r="220" spans="1:33" ht="14.25" customHeight="1" x14ac:dyDescent="0.15">
      <c r="A220" s="31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</row>
    <row r="221" spans="1:33" ht="14.25" customHeight="1" x14ac:dyDescent="0.15">
      <c r="A221" s="31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</row>
    <row r="222" spans="1:33" ht="14.25" customHeight="1" x14ac:dyDescent="0.15">
      <c r="A222" s="31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</row>
    <row r="223" spans="1:33" ht="14.25" customHeight="1" x14ac:dyDescent="0.15">
      <c r="A223" s="31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</row>
    <row r="224" spans="1:33" ht="14.25" customHeight="1" x14ac:dyDescent="0.15">
      <c r="A224" s="31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</row>
    <row r="225" spans="1:33" ht="14.25" customHeight="1" x14ac:dyDescent="0.15">
      <c r="A225" s="31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</row>
    <row r="226" spans="1:33" ht="14.25" customHeight="1" x14ac:dyDescent="0.15">
      <c r="A226" s="31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</row>
    <row r="227" spans="1:33" ht="14.25" customHeight="1" x14ac:dyDescent="0.15">
      <c r="A227" s="31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</row>
    <row r="228" spans="1:33" ht="14.25" customHeight="1" x14ac:dyDescent="0.15">
      <c r="A228" s="31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</row>
    <row r="229" spans="1:33" ht="14.25" customHeight="1" x14ac:dyDescent="0.15">
      <c r="A229" s="31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</row>
    <row r="230" spans="1:33" ht="14.25" customHeight="1" x14ac:dyDescent="0.15">
      <c r="A230" s="31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</row>
    <row r="231" spans="1:33" ht="14.25" customHeight="1" x14ac:dyDescent="0.15">
      <c r="A231" s="31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</row>
    <row r="232" spans="1:33" ht="14.25" customHeight="1" x14ac:dyDescent="0.15">
      <c r="A232" s="31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</row>
    <row r="233" spans="1:33" ht="15.75" customHeight="1" x14ac:dyDescent="0.15"/>
    <row r="234" spans="1:33" ht="15.75" customHeight="1" x14ac:dyDescent="0.15"/>
    <row r="235" spans="1:33" ht="15.75" customHeight="1" x14ac:dyDescent="0.15"/>
    <row r="236" spans="1:33" ht="15.75" customHeight="1" x14ac:dyDescent="0.15"/>
    <row r="237" spans="1:33" ht="15.75" customHeight="1" x14ac:dyDescent="0.15"/>
    <row r="238" spans="1:33" ht="15.75" customHeight="1" x14ac:dyDescent="0.15"/>
    <row r="239" spans="1:33" ht="15.75" customHeight="1" x14ac:dyDescent="0.15"/>
    <row r="240" spans="1:33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6">
    <mergeCell ref="C30:F33"/>
    <mergeCell ref="D2:E3"/>
    <mergeCell ref="D4:E4"/>
    <mergeCell ref="D5:E5"/>
    <mergeCell ref="D6:E6"/>
    <mergeCell ref="D7:E7"/>
  </mergeCells>
  <conditionalFormatting sqref="G4 I4">
    <cfRule type="expression" dxfId="2" priority="2">
      <formula>F4=""</formula>
    </cfRule>
  </conditionalFormatting>
  <conditionalFormatting sqref="K4">
    <cfRule type="expression" dxfId="1" priority="3">
      <formula>OR($D$2="New Purchase",$D$2="Please Select")</formula>
    </cfRule>
  </conditionalFormatting>
  <conditionalFormatting sqref="K32">
    <cfRule type="cellIs" dxfId="0" priority="1" operator="lessThan">
      <formula>0</formula>
    </cfRule>
  </conditionalFormatting>
  <dataValidations count="1">
    <dataValidation type="list" allowBlank="1" showErrorMessage="1" sqref="D2" xr:uid="{00000000-0002-0000-0200-000000000000}">
      <formula1>$AG$3:$AG$7</formula1>
    </dataValidation>
  </dataValidation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0"/>
  <sheetViews>
    <sheetView topLeftCell="B1" workbookViewId="0">
      <selection activeCell="C10" sqref="C10"/>
    </sheetView>
  </sheetViews>
  <sheetFormatPr defaultColWidth="12.625" defaultRowHeight="15" customHeight="1" x14ac:dyDescent="0.15"/>
  <cols>
    <col min="1" max="1" width="9.8671875" customWidth="1"/>
    <col min="2" max="2" width="18.72265625" customWidth="1"/>
    <col min="3" max="3" width="14.8046875" customWidth="1"/>
    <col min="4" max="4" width="17.26953125" customWidth="1"/>
    <col min="5" max="5" width="14.22265625" customWidth="1"/>
    <col min="6" max="6" width="7.98046875" customWidth="1"/>
    <col min="7" max="25" width="7.69140625" customWidth="1"/>
  </cols>
  <sheetData>
    <row r="1" spans="1:25" ht="14.25" customHeight="1" x14ac:dyDescent="0.15">
      <c r="A1" s="70" t="s">
        <v>86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</row>
    <row r="2" spans="1:25" ht="14.25" customHeight="1" x14ac:dyDescent="0.15">
      <c r="A2" s="71" t="s">
        <v>87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</row>
    <row r="3" spans="1:25" ht="14.25" customHeight="1" x14ac:dyDescent="0.15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</row>
    <row r="4" spans="1:25" ht="14.25" customHeight="1" x14ac:dyDescent="0.15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</row>
    <row r="5" spans="1:25" ht="14.25" customHeight="1" x14ac:dyDescent="0.15">
      <c r="A5" s="70" t="s">
        <v>88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</row>
    <row r="6" spans="1:25" ht="14.25" customHeight="1" x14ac:dyDescent="0.15">
      <c r="A6" s="71" t="s">
        <v>89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</row>
    <row r="7" spans="1:25" ht="14.25" customHeight="1" x14ac:dyDescent="0.15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</row>
    <row r="8" spans="1:25" ht="14.25" customHeight="1" x14ac:dyDescent="0.15">
      <c r="A8" s="70" t="s">
        <v>90</v>
      </c>
      <c r="B8" s="70"/>
      <c r="C8" s="72">
        <v>1900000</v>
      </c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</row>
    <row r="9" spans="1:25" ht="14.25" customHeight="1" x14ac:dyDescent="0.15">
      <c r="A9" s="70" t="s">
        <v>91</v>
      </c>
      <c r="B9" s="70"/>
      <c r="C9" s="73">
        <v>3.2500000000000001E-2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</row>
    <row r="10" spans="1:25" ht="14.25" customHeight="1" x14ac:dyDescent="0.15">
      <c r="A10" s="70" t="s">
        <v>92</v>
      </c>
      <c r="B10" s="70"/>
      <c r="C10" s="74">
        <v>276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</row>
    <row r="11" spans="1:25" ht="14.25" customHeight="1" x14ac:dyDescent="0.15">
      <c r="A11" s="70"/>
      <c r="B11" s="70"/>
      <c r="C11" s="75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</row>
    <row r="12" spans="1:25" ht="14.25" customHeight="1" x14ac:dyDescent="0.15">
      <c r="A12" s="70" t="s">
        <v>93</v>
      </c>
      <c r="B12" s="70"/>
      <c r="C12" s="76">
        <f>ROUND(PMT(C9/12,C10,-C8),0)</f>
        <v>9783</v>
      </c>
      <c r="D12" s="70" t="s">
        <v>94</v>
      </c>
      <c r="E12" s="76">
        <f>C12*C10-C8</f>
        <v>800108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</row>
    <row r="13" spans="1:25" ht="14.25" customHeight="1" x14ac:dyDescent="0.15">
      <c r="A13" s="70" t="s">
        <v>95</v>
      </c>
      <c r="B13" s="70"/>
      <c r="C13" s="77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</row>
    <row r="14" spans="1:25" ht="14.25" customHeight="1" x14ac:dyDescent="0.15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</row>
    <row r="15" spans="1:25" ht="14.25" customHeight="1" x14ac:dyDescent="0.15">
      <c r="A15" s="70" t="s">
        <v>96</v>
      </c>
      <c r="B15" s="70" t="s">
        <v>97</v>
      </c>
      <c r="C15" s="70" t="s">
        <v>97</v>
      </c>
      <c r="D15" s="70" t="s">
        <v>98</v>
      </c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</row>
    <row r="16" spans="1:25" ht="14.25" customHeight="1" x14ac:dyDescent="0.15">
      <c r="A16" s="70" t="s">
        <v>99</v>
      </c>
      <c r="B16" s="70" t="s">
        <v>100</v>
      </c>
      <c r="C16" s="70" t="s">
        <v>101</v>
      </c>
      <c r="D16" s="70" t="s">
        <v>102</v>
      </c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</row>
    <row r="17" spans="1:25" ht="14.25" customHeight="1" x14ac:dyDescent="0.15">
      <c r="A17" s="70" t="s">
        <v>103</v>
      </c>
      <c r="B17" s="78" t="s">
        <v>104</v>
      </c>
      <c r="C17" s="79" t="s">
        <v>105</v>
      </c>
      <c r="D17" s="79" t="s">
        <v>106</v>
      </c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</row>
    <row r="18" spans="1:25" ht="14.25" customHeight="1" x14ac:dyDescent="0.15">
      <c r="A18" s="70" t="s">
        <v>107</v>
      </c>
      <c r="B18" s="70" t="s">
        <v>107</v>
      </c>
      <c r="C18" s="70" t="s">
        <v>107</v>
      </c>
      <c r="D18" s="70" t="s">
        <v>107</v>
      </c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</row>
    <row r="19" spans="1:25" ht="14.25" customHeight="1" x14ac:dyDescent="0.15">
      <c r="A19" s="70">
        <v>1</v>
      </c>
      <c r="B19" s="80">
        <f>C8*C9/12</f>
        <v>5145.833333333333</v>
      </c>
      <c r="C19" s="76">
        <f>C12-B19</f>
        <v>4637.166666666667</v>
      </c>
      <c r="D19" s="76">
        <f>C8-C19</f>
        <v>1895362.8333333333</v>
      </c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</row>
    <row r="20" spans="1:25" ht="14.25" customHeight="1" x14ac:dyDescent="0.15">
      <c r="A20" s="70">
        <v>2</v>
      </c>
      <c r="B20" s="80">
        <f>D19*C9/12</f>
        <v>5133.2743402777778</v>
      </c>
      <c r="C20" s="76">
        <f>C12-B20</f>
        <v>4649.7256597222222</v>
      </c>
      <c r="D20" s="76">
        <f t="shared" ref="D20:D378" si="0">D19-C20</f>
        <v>1890713.107673611</v>
      </c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</row>
    <row r="21" spans="1:25" ht="14.25" customHeight="1" x14ac:dyDescent="0.15">
      <c r="A21" s="70">
        <v>3</v>
      </c>
      <c r="B21" s="80">
        <f>D20*C9/12</f>
        <v>5120.6813332826969</v>
      </c>
      <c r="C21" s="76">
        <f>C12-B21</f>
        <v>4662.3186667173031</v>
      </c>
      <c r="D21" s="76">
        <f t="shared" si="0"/>
        <v>1886050.7890068938</v>
      </c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</row>
    <row r="22" spans="1:25" ht="14.25" customHeight="1" x14ac:dyDescent="0.15">
      <c r="A22" s="70">
        <v>4</v>
      </c>
      <c r="B22" s="80">
        <f>D21*C9/12</f>
        <v>5108.0542202270035</v>
      </c>
      <c r="C22" s="76">
        <f>C12-B22</f>
        <v>4674.9457797729965</v>
      </c>
      <c r="D22" s="76">
        <f t="shared" si="0"/>
        <v>1881375.8432271208</v>
      </c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</row>
    <row r="23" spans="1:25" ht="14.25" customHeight="1" x14ac:dyDescent="0.15">
      <c r="A23" s="70">
        <v>5</v>
      </c>
      <c r="B23" s="80">
        <f>D22*C9/12</f>
        <v>5095.3929087401193</v>
      </c>
      <c r="C23" s="76">
        <f>C12-B23</f>
        <v>4687.6070912598807</v>
      </c>
      <c r="D23" s="76">
        <f t="shared" si="0"/>
        <v>1876688.2361358609</v>
      </c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spans="1:25" ht="14.25" customHeight="1" x14ac:dyDescent="0.15">
      <c r="A24" s="70">
        <v>6</v>
      </c>
      <c r="B24" s="80">
        <f>D23*C9/12</f>
        <v>5082.6973062012903</v>
      </c>
      <c r="C24" s="76">
        <f>C12-B24</f>
        <v>4700.3026937987097</v>
      </c>
      <c r="D24" s="76">
        <f t="shared" si="0"/>
        <v>1871987.9334420622</v>
      </c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</row>
    <row r="25" spans="1:25" ht="14.25" customHeight="1" x14ac:dyDescent="0.15">
      <c r="A25" s="70">
        <v>7</v>
      </c>
      <c r="B25" s="80">
        <f>D24*C9/12</f>
        <v>5069.9673197389193</v>
      </c>
      <c r="C25" s="76">
        <f>C12-B25</f>
        <v>4713.0326802610807</v>
      </c>
      <c r="D25" s="76">
        <f t="shared" si="0"/>
        <v>1867274.9007618011</v>
      </c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spans="1:25" ht="14.25" customHeight="1" x14ac:dyDescent="0.15">
      <c r="A26" s="70">
        <v>8</v>
      </c>
      <c r="B26" s="80">
        <f>D25*C9/12</f>
        <v>5057.2028562298783</v>
      </c>
      <c r="C26" s="76">
        <f>C12-B26</f>
        <v>4725.7971437701217</v>
      </c>
      <c r="D26" s="76">
        <f t="shared" si="0"/>
        <v>1862549.1036180309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</row>
    <row r="27" spans="1:25" ht="14.25" customHeight="1" x14ac:dyDescent="0.15">
      <c r="A27" s="70">
        <v>9</v>
      </c>
      <c r="B27" s="80">
        <f>D26*C9/12</f>
        <v>5044.4038222988338</v>
      </c>
      <c r="C27" s="76">
        <f>C12-B27</f>
        <v>4738.5961777011662</v>
      </c>
      <c r="D27" s="76">
        <f t="shared" si="0"/>
        <v>1857810.5074403298</v>
      </c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</row>
    <row r="28" spans="1:25" ht="14.25" customHeight="1" x14ac:dyDescent="0.15">
      <c r="A28" s="70">
        <v>10</v>
      </c>
      <c r="B28" s="80">
        <f>D27*C9/12</f>
        <v>5031.5701243175599</v>
      </c>
      <c r="C28" s="76">
        <f>C12-B28</f>
        <v>4751.4298756824401</v>
      </c>
      <c r="D28" s="76">
        <f t="shared" si="0"/>
        <v>1853059.0775646474</v>
      </c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</row>
    <row r="29" spans="1:25" ht="14.25" customHeight="1" x14ac:dyDescent="0.15">
      <c r="A29" s="70">
        <v>11</v>
      </c>
      <c r="B29" s="80">
        <f>D28*C9/12</f>
        <v>5018.7016684042537</v>
      </c>
      <c r="C29" s="76">
        <f>C12-B29</f>
        <v>4764.2983315957463</v>
      </c>
      <c r="D29" s="76">
        <f t="shared" si="0"/>
        <v>1848294.7792330517</v>
      </c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</row>
    <row r="30" spans="1:25" ht="14.25" customHeight="1" x14ac:dyDescent="0.15">
      <c r="A30" s="70">
        <v>12</v>
      </c>
      <c r="B30" s="80">
        <f>D29*C9/12</f>
        <v>5005.7983604228484</v>
      </c>
      <c r="C30" s="76">
        <f>C12-B30</f>
        <v>4777.2016395771516</v>
      </c>
      <c r="D30" s="76">
        <f t="shared" si="0"/>
        <v>1843517.5775934746</v>
      </c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</row>
    <row r="31" spans="1:25" ht="14.25" customHeight="1" x14ac:dyDescent="0.15">
      <c r="A31" s="70">
        <v>13</v>
      </c>
      <c r="B31" s="80">
        <f>D30*C9/12</f>
        <v>4992.8601059823277</v>
      </c>
      <c r="C31" s="76">
        <f>C12-B31</f>
        <v>4790.1398940176723</v>
      </c>
      <c r="D31" s="76">
        <f t="shared" si="0"/>
        <v>1838727.4376994569</v>
      </c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</row>
    <row r="32" spans="1:25" ht="14.25" customHeight="1" x14ac:dyDescent="0.15">
      <c r="A32" s="70">
        <v>14</v>
      </c>
      <c r="B32" s="80">
        <f>D31*C9/12</f>
        <v>4979.886810436029</v>
      </c>
      <c r="C32" s="76">
        <f>C12-B32</f>
        <v>4803.113189563971</v>
      </c>
      <c r="D32" s="76">
        <f t="shared" si="0"/>
        <v>1833924.3245098928</v>
      </c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</row>
    <row r="33" spans="1:25" ht="14.25" customHeight="1" x14ac:dyDescent="0.15">
      <c r="A33" s="70">
        <v>15</v>
      </c>
      <c r="B33" s="80">
        <f>D32*C9/12</f>
        <v>4966.8783788809606</v>
      </c>
      <c r="C33" s="76">
        <f>C12-B33</f>
        <v>4816.1216211190394</v>
      </c>
      <c r="D33" s="76">
        <f t="shared" si="0"/>
        <v>1829108.2028887738</v>
      </c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</row>
    <row r="34" spans="1:25" ht="14.25" customHeight="1" x14ac:dyDescent="0.15">
      <c r="A34" s="70">
        <v>16</v>
      </c>
      <c r="B34" s="80">
        <f>D33*C9/12</f>
        <v>4953.8347161570955</v>
      </c>
      <c r="C34" s="76">
        <f>C12-B34</f>
        <v>4829.1652838429045</v>
      </c>
      <c r="D34" s="76">
        <f t="shared" si="0"/>
        <v>1824279.0376049308</v>
      </c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</row>
    <row r="35" spans="1:25" ht="14.25" customHeight="1" x14ac:dyDescent="0.15">
      <c r="A35" s="70">
        <v>17</v>
      </c>
      <c r="B35" s="80">
        <f>D34*C9/12</f>
        <v>4940.755726846688</v>
      </c>
      <c r="C35" s="76">
        <f>C12-B35</f>
        <v>4842.244273153312</v>
      </c>
      <c r="D35" s="76">
        <f t="shared" si="0"/>
        <v>1819436.7933317774</v>
      </c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</row>
    <row r="36" spans="1:25" ht="14.25" customHeight="1" x14ac:dyDescent="0.15">
      <c r="A36" s="70">
        <v>18</v>
      </c>
      <c r="B36" s="80">
        <f>D35*C9/12</f>
        <v>4927.641315273564</v>
      </c>
      <c r="C36" s="76">
        <f>C12-B36</f>
        <v>4855.358684726436</v>
      </c>
      <c r="D36" s="76">
        <f t="shared" si="0"/>
        <v>1814581.4346470509</v>
      </c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</row>
    <row r="37" spans="1:25" ht="14.25" customHeight="1" x14ac:dyDescent="0.15">
      <c r="A37" s="70">
        <v>19</v>
      </c>
      <c r="B37" s="80">
        <f>D36*C9/12</f>
        <v>4914.4913855024297</v>
      </c>
      <c r="C37" s="76">
        <f>C12-B37</f>
        <v>4868.5086144975703</v>
      </c>
      <c r="D37" s="76">
        <f t="shared" si="0"/>
        <v>1809712.9260325534</v>
      </c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</row>
    <row r="38" spans="1:25" ht="14.25" customHeight="1" x14ac:dyDescent="0.15">
      <c r="A38" s="70">
        <v>20</v>
      </c>
      <c r="B38" s="80">
        <f>D37*C9/12</f>
        <v>4901.3058413381659</v>
      </c>
      <c r="C38" s="76">
        <f>C12-B38</f>
        <v>4881.6941586618341</v>
      </c>
      <c r="D38" s="76">
        <f t="shared" si="0"/>
        <v>1804831.2318738915</v>
      </c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</row>
    <row r="39" spans="1:25" ht="14.25" customHeight="1" x14ac:dyDescent="0.15">
      <c r="A39" s="70">
        <v>21</v>
      </c>
      <c r="B39" s="80">
        <f>D38*C9/12</f>
        <v>4888.0845863251234</v>
      </c>
      <c r="C39" s="76">
        <f>C12-B39</f>
        <v>4894.9154136748766</v>
      </c>
      <c r="D39" s="76">
        <f t="shared" si="0"/>
        <v>1799936.3164602167</v>
      </c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</row>
    <row r="40" spans="1:25" ht="14.25" customHeight="1" x14ac:dyDescent="0.15">
      <c r="A40" s="70">
        <v>22</v>
      </c>
      <c r="B40" s="80">
        <f>D39*C9/12</f>
        <v>4874.8275237464204</v>
      </c>
      <c r="C40" s="76">
        <f>C12-B40</f>
        <v>4908.1724762535796</v>
      </c>
      <c r="D40" s="76">
        <f t="shared" si="0"/>
        <v>1795028.1439839632</v>
      </c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</row>
    <row r="41" spans="1:25" ht="14.25" customHeight="1" x14ac:dyDescent="0.15">
      <c r="A41" s="70">
        <v>23</v>
      </c>
      <c r="B41" s="80">
        <f>D40*C9/12</f>
        <v>4861.5345566232336</v>
      </c>
      <c r="C41" s="76">
        <f>C12-B41</f>
        <v>4921.4654433767664</v>
      </c>
      <c r="D41" s="76">
        <f t="shared" si="0"/>
        <v>1790106.6785405865</v>
      </c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</row>
    <row r="42" spans="1:25" ht="14.25" customHeight="1" x14ac:dyDescent="0.15">
      <c r="A42" s="70">
        <v>24</v>
      </c>
      <c r="B42" s="80">
        <f>D41*C9/12</f>
        <v>4848.2055877140883</v>
      </c>
      <c r="C42" s="76">
        <f>C12-B42</f>
        <v>4934.7944122859117</v>
      </c>
      <c r="D42" s="76">
        <f t="shared" si="0"/>
        <v>1785171.8841283005</v>
      </c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</row>
    <row r="43" spans="1:25" ht="14.25" customHeight="1" x14ac:dyDescent="0.15">
      <c r="A43" s="70">
        <v>25</v>
      </c>
      <c r="B43" s="80">
        <f>D42*C9/12</f>
        <v>4834.8405195141468</v>
      </c>
      <c r="C43" s="76">
        <f>C12-B43</f>
        <v>4948.1594804858532</v>
      </c>
      <c r="D43" s="76">
        <f t="shared" si="0"/>
        <v>1780223.7246478146</v>
      </c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</row>
    <row r="44" spans="1:25" ht="14.25" customHeight="1" x14ac:dyDescent="0.15">
      <c r="A44" s="70">
        <v>26</v>
      </c>
      <c r="B44" s="80">
        <f>D43*C9/12</f>
        <v>4821.4392542544983</v>
      </c>
      <c r="C44" s="76">
        <f>C12-B44</f>
        <v>4961.5607457455017</v>
      </c>
      <c r="D44" s="76">
        <f t="shared" si="0"/>
        <v>1775262.1639020692</v>
      </c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</row>
    <row r="45" spans="1:25" ht="14.25" customHeight="1" x14ac:dyDescent="0.15">
      <c r="A45" s="70">
        <v>27</v>
      </c>
      <c r="B45" s="80">
        <f>D44*C9/12</f>
        <v>4808.0016939014376</v>
      </c>
      <c r="C45" s="76">
        <f>C12-B45</f>
        <v>4974.9983060985624</v>
      </c>
      <c r="D45" s="76">
        <f t="shared" si="0"/>
        <v>1770287.1655959706</v>
      </c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</row>
    <row r="46" spans="1:25" ht="14.25" customHeight="1" x14ac:dyDescent="0.15">
      <c r="A46" s="70">
        <v>28</v>
      </c>
      <c r="B46" s="80">
        <f>D45*C9/12</f>
        <v>4794.5277401557532</v>
      </c>
      <c r="C46" s="76">
        <f>C12-B46</f>
        <v>4988.4722598442468</v>
      </c>
      <c r="D46" s="76">
        <f t="shared" si="0"/>
        <v>1765298.6933361264</v>
      </c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</row>
    <row r="47" spans="1:25" ht="14.25" customHeight="1" x14ac:dyDescent="0.15">
      <c r="A47" s="70">
        <v>29</v>
      </c>
      <c r="B47" s="80">
        <f>D46*C9/12</f>
        <v>4781.0172944520091</v>
      </c>
      <c r="C47" s="76">
        <f>C12-B47</f>
        <v>5001.9827055479909</v>
      </c>
      <c r="D47" s="76">
        <f t="shared" si="0"/>
        <v>1760296.7106305785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</row>
    <row r="48" spans="1:25" ht="14.25" customHeight="1" x14ac:dyDescent="0.15">
      <c r="A48" s="70">
        <v>30</v>
      </c>
      <c r="B48" s="80">
        <f>D47*C9/12</f>
        <v>4767.470257957817</v>
      </c>
      <c r="C48" s="76">
        <f>C12-B48</f>
        <v>5015.529742042183</v>
      </c>
      <c r="D48" s="76">
        <f t="shared" si="0"/>
        <v>1755281.1808885364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</row>
    <row r="49" spans="1:25" ht="14.25" customHeight="1" x14ac:dyDescent="0.15">
      <c r="A49" s="70">
        <v>31</v>
      </c>
      <c r="B49" s="80">
        <f>D48*C9/12</f>
        <v>4753.8865315731191</v>
      </c>
      <c r="C49" s="76">
        <f>C12-B49</f>
        <v>5029.1134684268809</v>
      </c>
      <c r="D49" s="76">
        <f t="shared" si="0"/>
        <v>1750252.0674201094</v>
      </c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</row>
    <row r="50" spans="1:25" ht="14.25" customHeight="1" x14ac:dyDescent="0.15">
      <c r="A50" s="70">
        <v>32</v>
      </c>
      <c r="B50" s="80">
        <f>D49*C9/12</f>
        <v>4740.2660159294637</v>
      </c>
      <c r="C50" s="76">
        <f>C12-B50</f>
        <v>5042.7339840705363</v>
      </c>
      <c r="D50" s="76">
        <f t="shared" si="0"/>
        <v>1745209.3334360388</v>
      </c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</row>
    <row r="51" spans="1:25" ht="14.25" customHeight="1" x14ac:dyDescent="0.15">
      <c r="A51" s="70">
        <v>33</v>
      </c>
      <c r="B51" s="80">
        <f>D50*C9/12</f>
        <v>4726.6086113892716</v>
      </c>
      <c r="C51" s="76">
        <f>C12-B51</f>
        <v>5056.3913886107284</v>
      </c>
      <c r="D51" s="76">
        <f t="shared" si="0"/>
        <v>1740152.9420474281</v>
      </c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</row>
    <row r="52" spans="1:25" ht="14.25" customHeight="1" x14ac:dyDescent="0.15">
      <c r="A52" s="70">
        <v>34</v>
      </c>
      <c r="B52" s="80">
        <f>D51*C9/12</f>
        <v>4712.9142180451181</v>
      </c>
      <c r="C52" s="76">
        <f>C12-B52</f>
        <v>5070.0857819548819</v>
      </c>
      <c r="D52" s="76">
        <f t="shared" si="0"/>
        <v>1735082.8562654732</v>
      </c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</row>
    <row r="53" spans="1:25" ht="14.25" customHeight="1" x14ac:dyDescent="0.15">
      <c r="A53" s="70">
        <v>35</v>
      </c>
      <c r="B53" s="80">
        <f>D52*C9/12</f>
        <v>4699.1827357189895</v>
      </c>
      <c r="C53" s="76">
        <f>C12-B53</f>
        <v>5083.8172642810105</v>
      </c>
      <c r="D53" s="76">
        <f t="shared" si="0"/>
        <v>1729999.0390011922</v>
      </c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</row>
    <row r="54" spans="1:25" ht="14.25" customHeight="1" x14ac:dyDescent="0.15">
      <c r="A54" s="70">
        <v>36</v>
      </c>
      <c r="B54" s="80">
        <f>D53*C9/12</f>
        <v>4685.4140639615625</v>
      </c>
      <c r="C54" s="76">
        <f>C12-B54</f>
        <v>5097.5859360384375</v>
      </c>
      <c r="D54" s="76">
        <f t="shared" si="0"/>
        <v>1724901.4530651537</v>
      </c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</row>
    <row r="55" spans="1:25" ht="14.25" customHeight="1" x14ac:dyDescent="0.15">
      <c r="A55" s="70">
        <v>37</v>
      </c>
      <c r="B55" s="80">
        <f>D54*C9/12</f>
        <v>4671.6081020514584</v>
      </c>
      <c r="C55" s="76">
        <f>C12-B55</f>
        <v>5111.3918979485416</v>
      </c>
      <c r="D55" s="76">
        <f t="shared" si="0"/>
        <v>1719790.0611672052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</row>
    <row r="56" spans="1:25" ht="14.25" customHeight="1" x14ac:dyDescent="0.15">
      <c r="A56" s="70">
        <v>38</v>
      </c>
      <c r="B56" s="80">
        <f>D55*C9/12</f>
        <v>4657.7647489945148</v>
      </c>
      <c r="C56" s="76">
        <f>C12-B56</f>
        <v>5125.2352510054852</v>
      </c>
      <c r="D56" s="76">
        <f t="shared" si="0"/>
        <v>1714664.8259161997</v>
      </c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</row>
    <row r="57" spans="1:25" ht="14.25" customHeight="1" x14ac:dyDescent="0.15">
      <c r="A57" s="70">
        <v>39</v>
      </c>
      <c r="B57" s="80">
        <f>D56*C9/12</f>
        <v>4643.8839035230412</v>
      </c>
      <c r="C57" s="76">
        <f>C12-B57</f>
        <v>5139.1160964769588</v>
      </c>
      <c r="D57" s="76">
        <f t="shared" si="0"/>
        <v>1709525.7098197227</v>
      </c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</row>
    <row r="58" spans="1:25" ht="14.25" customHeight="1" x14ac:dyDescent="0.15">
      <c r="A58" s="70">
        <v>40</v>
      </c>
      <c r="B58" s="80">
        <f>D57*C9/12</f>
        <v>4629.9654640950821</v>
      </c>
      <c r="C58" s="76">
        <f>C12-B58</f>
        <v>5153.0345359049179</v>
      </c>
      <c r="D58" s="76">
        <f t="shared" si="0"/>
        <v>1704372.6752838178</v>
      </c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</row>
    <row r="59" spans="1:25" ht="14.25" customHeight="1" x14ac:dyDescent="0.15">
      <c r="A59" s="70">
        <v>41</v>
      </c>
      <c r="B59" s="80">
        <f>D58*C9/12</f>
        <v>4616.0093288936732</v>
      </c>
      <c r="C59" s="76">
        <f>C12-B59</f>
        <v>5166.9906711063268</v>
      </c>
      <c r="D59" s="76">
        <f t="shared" si="0"/>
        <v>1699205.6846127114</v>
      </c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</row>
    <row r="60" spans="1:25" ht="14.25" customHeight="1" x14ac:dyDescent="0.15">
      <c r="A60" s="70">
        <v>42</v>
      </c>
      <c r="B60" s="80">
        <f>D59*C9/12</f>
        <v>4602.0153958260935</v>
      </c>
      <c r="C60" s="76">
        <f>C12-B60</f>
        <v>5180.9846041739065</v>
      </c>
      <c r="D60" s="76">
        <f t="shared" si="0"/>
        <v>1694024.7000085376</v>
      </c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</row>
    <row r="61" spans="1:25" ht="14.25" customHeight="1" x14ac:dyDescent="0.15">
      <c r="A61" s="70">
        <v>43</v>
      </c>
      <c r="B61" s="80">
        <f>D60*C9/12</f>
        <v>4587.9835625231226</v>
      </c>
      <c r="C61" s="76">
        <f>C12-B61</f>
        <v>5195.0164374768774</v>
      </c>
      <c r="D61" s="76">
        <f t="shared" si="0"/>
        <v>1688829.6835710607</v>
      </c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</row>
    <row r="62" spans="1:25" ht="14.25" customHeight="1" x14ac:dyDescent="0.15">
      <c r="A62" s="70">
        <v>44</v>
      </c>
      <c r="B62" s="80">
        <f>D61*C9/12</f>
        <v>4573.91372633829</v>
      </c>
      <c r="C62" s="76">
        <f>C12-B62</f>
        <v>5209.08627366171</v>
      </c>
      <c r="D62" s="76">
        <f t="shared" si="0"/>
        <v>1683620.5972973988</v>
      </c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</row>
    <row r="63" spans="1:25" ht="14.25" customHeight="1" x14ac:dyDescent="0.15">
      <c r="A63" s="70">
        <v>45</v>
      </c>
      <c r="B63" s="80">
        <f>D62*C9/12</f>
        <v>4559.8057843471224</v>
      </c>
      <c r="C63" s="76">
        <f>C12-B63</f>
        <v>5223.1942156528776</v>
      </c>
      <c r="D63" s="76">
        <f t="shared" si="0"/>
        <v>1678397.4030817461</v>
      </c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</row>
    <row r="64" spans="1:25" ht="14.25" customHeight="1" x14ac:dyDescent="0.15">
      <c r="A64" s="70">
        <v>46</v>
      </c>
      <c r="B64" s="80">
        <f>D63*C9/12</f>
        <v>4545.6596333463958</v>
      </c>
      <c r="C64" s="76">
        <f>C12-B64</f>
        <v>5237.3403666536042</v>
      </c>
      <c r="D64" s="76">
        <f t="shared" si="0"/>
        <v>1673160.0627150924</v>
      </c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</row>
    <row r="65" spans="1:25" ht="14.25" customHeight="1" x14ac:dyDescent="0.15">
      <c r="A65" s="70">
        <v>47</v>
      </c>
      <c r="B65" s="80">
        <f>D64*C9/12</f>
        <v>4531.4751698533755</v>
      </c>
      <c r="C65" s="76">
        <f>C12-B65</f>
        <v>5251.5248301466245</v>
      </c>
      <c r="D65" s="76">
        <f t="shared" si="0"/>
        <v>1667908.5378849457</v>
      </c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</row>
    <row r="66" spans="1:25" ht="14.25" customHeight="1" x14ac:dyDescent="0.15">
      <c r="A66" s="70">
        <v>48</v>
      </c>
      <c r="B66" s="80">
        <f>D65*C9/12</f>
        <v>4517.2522901050615</v>
      </c>
      <c r="C66" s="76">
        <f>C12-B66</f>
        <v>5265.7477098949385</v>
      </c>
      <c r="D66" s="76">
        <f t="shared" si="0"/>
        <v>1662642.7901750507</v>
      </c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</row>
    <row r="67" spans="1:25" ht="14.25" customHeight="1" x14ac:dyDescent="0.15">
      <c r="A67" s="70">
        <v>49</v>
      </c>
      <c r="B67" s="80">
        <f>D66*C9/12</f>
        <v>4502.9908900574292</v>
      </c>
      <c r="C67" s="76">
        <f>C12-B67</f>
        <v>5280.0091099425708</v>
      </c>
      <c r="D67" s="76">
        <f t="shared" si="0"/>
        <v>1657362.7810651083</v>
      </c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</row>
    <row r="68" spans="1:25" ht="14.25" customHeight="1" x14ac:dyDescent="0.15">
      <c r="A68" s="70">
        <v>50</v>
      </c>
      <c r="B68" s="80">
        <f>D67*C9/12</f>
        <v>4488.6908653846685</v>
      </c>
      <c r="C68" s="76">
        <f>C12-B68</f>
        <v>5294.3091346153315</v>
      </c>
      <c r="D68" s="76">
        <f t="shared" si="0"/>
        <v>1652068.4719304929</v>
      </c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</row>
    <row r="69" spans="1:25" ht="14.25" customHeight="1" x14ac:dyDescent="0.15">
      <c r="A69" s="70">
        <v>51</v>
      </c>
      <c r="B69" s="80">
        <f>D68*C9/12</f>
        <v>4474.3521114784189</v>
      </c>
      <c r="C69" s="76">
        <f>C12-B69</f>
        <v>5308.6478885215811</v>
      </c>
      <c r="D69" s="76">
        <f t="shared" si="0"/>
        <v>1646759.8240419712</v>
      </c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</row>
    <row r="70" spans="1:25" ht="14.25" customHeight="1" x14ac:dyDescent="0.15">
      <c r="A70" s="70">
        <v>52</v>
      </c>
      <c r="B70" s="80">
        <f>D69*C9/12</f>
        <v>4459.9745234470056</v>
      </c>
      <c r="C70" s="76">
        <f>C12-B70</f>
        <v>5323.0254765529944</v>
      </c>
      <c r="D70" s="76">
        <f t="shared" si="0"/>
        <v>1641436.7985654182</v>
      </c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</row>
    <row r="71" spans="1:25" ht="14.25" customHeight="1" x14ac:dyDescent="0.15">
      <c r="A71" s="70">
        <v>53</v>
      </c>
      <c r="B71" s="80">
        <f>D70*C9/12</f>
        <v>4445.557996114675</v>
      </c>
      <c r="C71" s="76">
        <f>C12-B71</f>
        <v>5337.442003885325</v>
      </c>
      <c r="D71" s="76">
        <f t="shared" si="0"/>
        <v>1636099.3565615329</v>
      </c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</row>
    <row r="72" spans="1:25" ht="14.25" customHeight="1" x14ac:dyDescent="0.15">
      <c r="A72" s="70">
        <v>54</v>
      </c>
      <c r="B72" s="80">
        <f>D71*C9/12</f>
        <v>4431.102424020818</v>
      </c>
      <c r="C72" s="76">
        <f>C12-B72</f>
        <v>5351.897575979182</v>
      </c>
      <c r="D72" s="76">
        <f t="shared" si="0"/>
        <v>1630747.4589855538</v>
      </c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</row>
    <row r="73" spans="1:25" ht="14.25" customHeight="1" x14ac:dyDescent="0.15">
      <c r="A73" s="70">
        <v>55</v>
      </c>
      <c r="B73" s="80">
        <f>D72*C9/12</f>
        <v>4416.6077014192078</v>
      </c>
      <c r="C73" s="76">
        <f>C12-B73</f>
        <v>5366.3922985807922</v>
      </c>
      <c r="D73" s="76">
        <f t="shared" si="0"/>
        <v>1625381.066686973</v>
      </c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</row>
    <row r="74" spans="1:25" ht="14.25" customHeight="1" x14ac:dyDescent="0.15">
      <c r="A74" s="70">
        <v>56</v>
      </c>
      <c r="B74" s="80">
        <f>D73*C9/12</f>
        <v>4402.0737222772186</v>
      </c>
      <c r="C74" s="76">
        <f>C12-B74</f>
        <v>5380.9262777227814</v>
      </c>
      <c r="D74" s="76">
        <f t="shared" si="0"/>
        <v>1620000.1404092503</v>
      </c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</row>
    <row r="75" spans="1:25" ht="14.25" customHeight="1" x14ac:dyDescent="0.15">
      <c r="A75" s="70">
        <v>57</v>
      </c>
      <c r="B75" s="80">
        <f>D74*C9/12</f>
        <v>4387.5003802750534</v>
      </c>
      <c r="C75" s="76">
        <f>C12-B75</f>
        <v>5395.4996197249466</v>
      </c>
      <c r="D75" s="76">
        <f t="shared" si="0"/>
        <v>1614604.6407895254</v>
      </c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</row>
    <row r="76" spans="1:25" ht="14.25" customHeight="1" x14ac:dyDescent="0.15">
      <c r="A76" s="70">
        <v>58</v>
      </c>
      <c r="B76" s="80">
        <f>D75*C9/12</f>
        <v>4372.8875688049648</v>
      </c>
      <c r="C76" s="76">
        <f>C12-B76</f>
        <v>5410.1124311950352</v>
      </c>
      <c r="D76" s="76">
        <f t="shared" si="0"/>
        <v>1609194.5283583303</v>
      </c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</row>
    <row r="77" spans="1:25" ht="14.25" customHeight="1" x14ac:dyDescent="0.15">
      <c r="A77" s="70">
        <v>59</v>
      </c>
      <c r="B77" s="80">
        <f>D76*C9/12</f>
        <v>4358.2351809704778</v>
      </c>
      <c r="C77" s="76">
        <f>C12-B77</f>
        <v>5424.7648190295222</v>
      </c>
      <c r="D77" s="76">
        <f t="shared" si="0"/>
        <v>1603769.7635393008</v>
      </c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</row>
    <row r="78" spans="1:25" ht="14.25" customHeight="1" x14ac:dyDescent="0.15">
      <c r="A78" s="70">
        <v>60</v>
      </c>
      <c r="B78" s="80">
        <f>D77*C9/12</f>
        <v>4343.5431095856065</v>
      </c>
      <c r="C78" s="76">
        <f>C12-B78</f>
        <v>5439.4568904143935</v>
      </c>
      <c r="D78" s="76">
        <f t="shared" si="0"/>
        <v>1598330.3066488863</v>
      </c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</row>
    <row r="79" spans="1:25" ht="14.25" customHeight="1" x14ac:dyDescent="0.15">
      <c r="A79" s="70">
        <v>61</v>
      </c>
      <c r="B79" s="80">
        <f>D78*C9/12</f>
        <v>4328.8112471740669</v>
      </c>
      <c r="C79" s="76">
        <f>C12-B79</f>
        <v>5454.1887528259331</v>
      </c>
      <c r="D79" s="76">
        <f t="shared" si="0"/>
        <v>1592876.1178960605</v>
      </c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</row>
    <row r="80" spans="1:25" ht="14.25" customHeight="1" x14ac:dyDescent="0.15">
      <c r="A80" s="70">
        <v>62</v>
      </c>
      <c r="B80" s="80">
        <f>D79*C9/12</f>
        <v>4314.0394859684975</v>
      </c>
      <c r="C80" s="76">
        <f>C12-B80</f>
        <v>5468.9605140315025</v>
      </c>
      <c r="D80" s="76">
        <f t="shared" si="0"/>
        <v>1587407.1573820289</v>
      </c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</row>
    <row r="81" spans="1:25" ht="14.25" customHeight="1" x14ac:dyDescent="0.15">
      <c r="A81" s="70">
        <v>63</v>
      </c>
      <c r="B81" s="80">
        <f>D80*C9/12</f>
        <v>4299.2277179096618</v>
      </c>
      <c r="C81" s="76">
        <f>C12-B81</f>
        <v>5483.7722820903382</v>
      </c>
      <c r="D81" s="76">
        <f t="shared" si="0"/>
        <v>1581923.3850999386</v>
      </c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</row>
    <row r="82" spans="1:25" ht="14.25" customHeight="1" x14ac:dyDescent="0.15">
      <c r="A82" s="70">
        <v>64</v>
      </c>
      <c r="B82" s="80">
        <f>D81*C9/12</f>
        <v>4284.3758346456671</v>
      </c>
      <c r="C82" s="76">
        <f>C12-B82</f>
        <v>5498.6241653543329</v>
      </c>
      <c r="D82" s="76">
        <f t="shared" si="0"/>
        <v>1576424.7609345843</v>
      </c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</row>
    <row r="83" spans="1:25" ht="14.25" customHeight="1" x14ac:dyDescent="0.15">
      <c r="A83" s="70">
        <v>65</v>
      </c>
      <c r="B83" s="80">
        <f>D82*C9/12</f>
        <v>4269.4837275311666</v>
      </c>
      <c r="C83" s="76">
        <f>C12-B83</f>
        <v>5513.5162724688334</v>
      </c>
      <c r="D83" s="76">
        <f t="shared" si="0"/>
        <v>1570911.2446621156</v>
      </c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</row>
    <row r="84" spans="1:25" ht="14.25" customHeight="1" x14ac:dyDescent="0.15">
      <c r="A84" s="70">
        <v>66</v>
      </c>
      <c r="B84" s="80">
        <f>D83*C9/12</f>
        <v>4254.551287626563</v>
      </c>
      <c r="C84" s="76">
        <f>C12-B84</f>
        <v>5528.448712373437</v>
      </c>
      <c r="D84" s="76">
        <f t="shared" si="0"/>
        <v>1565382.7959497422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</row>
    <row r="85" spans="1:25" ht="14.25" customHeight="1" x14ac:dyDescent="0.15">
      <c r="A85" s="70">
        <v>67</v>
      </c>
      <c r="B85" s="80">
        <f>D84*C9/12</f>
        <v>4239.5784056972188</v>
      </c>
      <c r="C85" s="76">
        <f>C12-B85</f>
        <v>5543.4215943027812</v>
      </c>
      <c r="D85" s="76">
        <f t="shared" si="0"/>
        <v>1559839.3743554393</v>
      </c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</row>
    <row r="86" spans="1:25" ht="14.25" customHeight="1" x14ac:dyDescent="0.15">
      <c r="A86" s="70">
        <v>68</v>
      </c>
      <c r="B86" s="80">
        <f>D85*C9/12</f>
        <v>4224.5649722126482</v>
      </c>
      <c r="C86" s="76">
        <f>C12-B86</f>
        <v>5558.4350277873518</v>
      </c>
      <c r="D86" s="76">
        <f t="shared" si="0"/>
        <v>1554280.9393276519</v>
      </c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</row>
    <row r="87" spans="1:25" ht="14.25" customHeight="1" x14ac:dyDescent="0.15">
      <c r="A87" s="70">
        <v>69</v>
      </c>
      <c r="B87" s="80">
        <f>D86*C9/12</f>
        <v>4209.5108773457241</v>
      </c>
      <c r="C87" s="76">
        <f>C12-B87</f>
        <v>5573.4891226542759</v>
      </c>
      <c r="D87" s="76">
        <f t="shared" si="0"/>
        <v>1548707.4502049976</v>
      </c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</row>
    <row r="88" spans="1:25" ht="14.25" customHeight="1" x14ac:dyDescent="0.15">
      <c r="A88" s="70">
        <v>70</v>
      </c>
      <c r="B88" s="80">
        <f>D87*C9/12</f>
        <v>4194.4160109718687</v>
      </c>
      <c r="C88" s="76">
        <f>C12-B88</f>
        <v>5588.5839890281313</v>
      </c>
      <c r="D88" s="76">
        <f t="shared" si="0"/>
        <v>1543118.8662159694</v>
      </c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</row>
    <row r="89" spans="1:25" ht="14.25" customHeight="1" x14ac:dyDescent="0.15">
      <c r="A89" s="70">
        <v>71</v>
      </c>
      <c r="B89" s="80">
        <f>D88*C9/12</f>
        <v>4179.2802626682505</v>
      </c>
      <c r="C89" s="76">
        <f>C12-B89</f>
        <v>5603.7197373317495</v>
      </c>
      <c r="D89" s="76">
        <f t="shared" si="0"/>
        <v>1537515.1464786376</v>
      </c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</row>
    <row r="90" spans="1:25" ht="14.25" customHeight="1" x14ac:dyDescent="0.15">
      <c r="A90" s="70">
        <v>72</v>
      </c>
      <c r="B90" s="80">
        <f>D89*C9/12</f>
        <v>4164.1035217129765</v>
      </c>
      <c r="C90" s="76">
        <f>C12-B90</f>
        <v>5618.8964782870235</v>
      </c>
      <c r="D90" s="76">
        <f t="shared" si="0"/>
        <v>1531896.2500003506</v>
      </c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</row>
    <row r="91" spans="1:25" ht="14.25" customHeight="1" x14ac:dyDescent="0.15">
      <c r="A91" s="70">
        <v>73</v>
      </c>
      <c r="B91" s="80">
        <f>D90*C9/12</f>
        <v>4148.8856770842831</v>
      </c>
      <c r="C91" s="76">
        <f>C12-B91</f>
        <v>5634.1143229157169</v>
      </c>
      <c r="D91" s="76">
        <f t="shared" si="0"/>
        <v>1526262.135677435</v>
      </c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</row>
    <row r="92" spans="1:25" ht="14.25" customHeight="1" x14ac:dyDescent="0.15">
      <c r="A92" s="70">
        <v>74</v>
      </c>
      <c r="B92" s="80">
        <f>D91*C9/12</f>
        <v>4133.6266174597195</v>
      </c>
      <c r="C92" s="76">
        <f>C12-B92</f>
        <v>5649.3733825402805</v>
      </c>
      <c r="D92" s="76">
        <f t="shared" si="0"/>
        <v>1520612.7622948948</v>
      </c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</row>
    <row r="93" spans="1:25" ht="14.25" customHeight="1" x14ac:dyDescent="0.15">
      <c r="A93" s="70">
        <v>75</v>
      </c>
      <c r="B93" s="80">
        <f>D92*C9/12</f>
        <v>4118.3262312153402</v>
      </c>
      <c r="C93" s="76">
        <f>C12-B93</f>
        <v>5664.6737687846598</v>
      </c>
      <c r="D93" s="76">
        <f t="shared" si="0"/>
        <v>1514948.0885261102</v>
      </c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</row>
    <row r="94" spans="1:25" ht="14.25" customHeight="1" x14ac:dyDescent="0.15">
      <c r="A94" s="70">
        <v>76</v>
      </c>
      <c r="B94" s="80">
        <f>D93*C9/12</f>
        <v>4102.9844064248819</v>
      </c>
      <c r="C94" s="76">
        <f>C12-B94</f>
        <v>5680.0155935751181</v>
      </c>
      <c r="D94" s="76">
        <f t="shared" si="0"/>
        <v>1509268.0729325351</v>
      </c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</row>
    <row r="95" spans="1:25" ht="14.25" customHeight="1" x14ac:dyDescent="0.15">
      <c r="A95" s="70">
        <v>77</v>
      </c>
      <c r="B95" s="80">
        <f>D94*C9/12</f>
        <v>4087.6010308589489</v>
      </c>
      <c r="C95" s="76">
        <f>C12-B95</f>
        <v>5695.3989691410516</v>
      </c>
      <c r="D95" s="76">
        <f t="shared" si="0"/>
        <v>1503572.673963394</v>
      </c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</row>
    <row r="96" spans="1:25" ht="14.25" customHeight="1" x14ac:dyDescent="0.15">
      <c r="A96" s="70">
        <v>78</v>
      </c>
      <c r="B96" s="80">
        <f>D95*C9/12</f>
        <v>4072.175991984192</v>
      </c>
      <c r="C96" s="76">
        <f>C12-B96</f>
        <v>5710.8240080158084</v>
      </c>
      <c r="D96" s="76">
        <f t="shared" si="0"/>
        <v>1497861.8499553781</v>
      </c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</row>
    <row r="97" spans="1:25" ht="14.25" customHeight="1" x14ac:dyDescent="0.15">
      <c r="A97" s="70">
        <v>79</v>
      </c>
      <c r="B97" s="80">
        <f>D96*C9/12</f>
        <v>4056.7091769624826</v>
      </c>
      <c r="C97" s="76">
        <f>C12-B97</f>
        <v>5726.2908230375178</v>
      </c>
      <c r="D97" s="76">
        <f t="shared" si="0"/>
        <v>1492135.5591323406</v>
      </c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</row>
    <row r="98" spans="1:25" ht="14.25" customHeight="1" x14ac:dyDescent="0.15">
      <c r="A98" s="70">
        <v>80</v>
      </c>
      <c r="B98" s="80">
        <f>D97*C9/12</f>
        <v>4041.2004726500891</v>
      </c>
      <c r="C98" s="76">
        <f>C12-B98</f>
        <v>5741.7995273499109</v>
      </c>
      <c r="D98" s="76">
        <f t="shared" si="0"/>
        <v>1486393.7596049907</v>
      </c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</row>
    <row r="99" spans="1:25" ht="14.25" customHeight="1" x14ac:dyDescent="0.15">
      <c r="A99" s="70">
        <v>81</v>
      </c>
      <c r="B99" s="80">
        <f>D98*C9/12</f>
        <v>4025.6497655968501</v>
      </c>
      <c r="C99" s="76">
        <f>C12-B99</f>
        <v>5757.3502344031494</v>
      </c>
      <c r="D99" s="76">
        <f t="shared" si="0"/>
        <v>1480636.4093705877</v>
      </c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</row>
    <row r="100" spans="1:25" ht="14.25" customHeight="1" x14ac:dyDescent="0.15">
      <c r="A100" s="70">
        <v>82</v>
      </c>
      <c r="B100" s="80">
        <f>D99*C9/12</f>
        <v>4010.0569420453417</v>
      </c>
      <c r="C100" s="76">
        <f>C12-B100</f>
        <v>5772.9430579546588</v>
      </c>
      <c r="D100" s="76">
        <f t="shared" si="0"/>
        <v>1474863.4663126331</v>
      </c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</row>
    <row r="101" spans="1:25" ht="14.25" customHeight="1" x14ac:dyDescent="0.15">
      <c r="A101" s="70">
        <v>83</v>
      </c>
      <c r="B101" s="80">
        <f>D100*C9/12</f>
        <v>3994.4218879300483</v>
      </c>
      <c r="C101" s="76">
        <f>C12-B101</f>
        <v>5788.5781120699521</v>
      </c>
      <c r="D101" s="76">
        <f t="shared" si="0"/>
        <v>1469074.8882005631</v>
      </c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</row>
    <row r="102" spans="1:25" ht="14.25" customHeight="1" x14ac:dyDescent="0.15">
      <c r="A102" s="70">
        <v>84</v>
      </c>
      <c r="B102" s="80">
        <f>D101*C9/12</f>
        <v>3978.7444888765253</v>
      </c>
      <c r="C102" s="76">
        <f>C12-B102</f>
        <v>5804.2555111234742</v>
      </c>
      <c r="D102" s="76">
        <f t="shared" si="0"/>
        <v>1463270.6326894397</v>
      </c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</row>
    <row r="103" spans="1:25" ht="14.25" customHeight="1" x14ac:dyDescent="0.15">
      <c r="A103" s="70">
        <v>85</v>
      </c>
      <c r="B103" s="80">
        <f>D102*C9/12</f>
        <v>3963.0246302005658</v>
      </c>
      <c r="C103" s="76">
        <f>C12-B103</f>
        <v>5819.9753697994347</v>
      </c>
      <c r="D103" s="76">
        <f t="shared" si="0"/>
        <v>1457450.6573196403</v>
      </c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</row>
    <row r="104" spans="1:25" ht="14.25" customHeight="1" x14ac:dyDescent="0.15">
      <c r="A104" s="70">
        <v>86</v>
      </c>
      <c r="B104" s="80">
        <f>D103*C9/12</f>
        <v>3947.2621969073593</v>
      </c>
      <c r="C104" s="76">
        <f>C12-B104</f>
        <v>5835.7378030926411</v>
      </c>
      <c r="D104" s="76">
        <f t="shared" si="0"/>
        <v>1451614.9195165476</v>
      </c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</row>
    <row r="105" spans="1:25" ht="14.25" customHeight="1" x14ac:dyDescent="0.15">
      <c r="A105" s="70">
        <v>87</v>
      </c>
      <c r="B105" s="80">
        <f>D104*C9/12</f>
        <v>3931.4570736906498</v>
      </c>
      <c r="C105" s="76">
        <f>C12-B105</f>
        <v>5851.5429263093502</v>
      </c>
      <c r="D105" s="76">
        <f t="shared" si="0"/>
        <v>1445763.3765902382</v>
      </c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</row>
    <row r="106" spans="1:25" ht="14.25" customHeight="1" x14ac:dyDescent="0.15">
      <c r="A106" s="70">
        <v>88</v>
      </c>
      <c r="B106" s="80">
        <f>D105*C9/12</f>
        <v>3915.6091449318951</v>
      </c>
      <c r="C106" s="76">
        <f>C12-B106</f>
        <v>5867.3908550681044</v>
      </c>
      <c r="D106" s="76">
        <f t="shared" si="0"/>
        <v>1439895.9857351701</v>
      </c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</row>
    <row r="107" spans="1:25" ht="14.25" customHeight="1" x14ac:dyDescent="0.15">
      <c r="A107" s="70">
        <v>89</v>
      </c>
      <c r="B107" s="80">
        <f>D106*C9/12</f>
        <v>3899.7182946994194</v>
      </c>
      <c r="C107" s="76">
        <f>C12-B107</f>
        <v>5883.2817053005801</v>
      </c>
      <c r="D107" s="76">
        <f t="shared" si="0"/>
        <v>1434012.7040298695</v>
      </c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</row>
    <row r="108" spans="1:25" ht="14.25" customHeight="1" x14ac:dyDescent="0.15">
      <c r="A108" s="70">
        <v>90</v>
      </c>
      <c r="B108" s="80">
        <f>D107*C9/12</f>
        <v>3883.7844067475635</v>
      </c>
      <c r="C108" s="76">
        <f>C12-B108</f>
        <v>5899.2155932524365</v>
      </c>
      <c r="D108" s="76">
        <f t="shared" si="0"/>
        <v>1428113.4884366172</v>
      </c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</row>
    <row r="109" spans="1:25" ht="14.25" customHeight="1" x14ac:dyDescent="0.15">
      <c r="A109" s="70">
        <v>91</v>
      </c>
      <c r="B109" s="80">
        <f>D108*C9/12</f>
        <v>3867.8073645158383</v>
      </c>
      <c r="C109" s="76">
        <f>C12-B109</f>
        <v>5915.1926354841617</v>
      </c>
      <c r="D109" s="76">
        <f t="shared" si="0"/>
        <v>1422198.2958011329</v>
      </c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</row>
    <row r="110" spans="1:25" ht="14.25" customHeight="1" x14ac:dyDescent="0.15">
      <c r="A110" s="70">
        <v>92</v>
      </c>
      <c r="B110" s="80">
        <f>D109*C9/12</f>
        <v>3851.7870511280685</v>
      </c>
      <c r="C110" s="76">
        <f>C12-B110</f>
        <v>5931.2129488719311</v>
      </c>
      <c r="D110" s="76">
        <f t="shared" si="0"/>
        <v>1416267.0828522609</v>
      </c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</row>
    <row r="111" spans="1:25" ht="14.25" customHeight="1" x14ac:dyDescent="0.15">
      <c r="A111" s="70">
        <v>93</v>
      </c>
      <c r="B111" s="80">
        <f>D110*C9/12</f>
        <v>3835.7233493915405</v>
      </c>
      <c r="C111" s="76">
        <f>C12-B111</f>
        <v>5947.276650608459</v>
      </c>
      <c r="D111" s="76">
        <f t="shared" si="0"/>
        <v>1410319.8062016524</v>
      </c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</row>
    <row r="112" spans="1:25" ht="14.25" customHeight="1" x14ac:dyDescent="0.15">
      <c r="A112" s="70">
        <v>94</v>
      </c>
      <c r="B112" s="80">
        <f>D111*C9/12</f>
        <v>3819.6161417961416</v>
      </c>
      <c r="C112" s="76">
        <f>C12-B112</f>
        <v>5963.3838582038588</v>
      </c>
      <c r="D112" s="76">
        <f t="shared" si="0"/>
        <v>1404356.4223434485</v>
      </c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</row>
    <row r="113" spans="1:25" ht="14.25" customHeight="1" x14ac:dyDescent="0.15">
      <c r="A113" s="70">
        <v>95</v>
      </c>
      <c r="B113" s="80">
        <f>D112*C9/12</f>
        <v>3803.4653105135062</v>
      </c>
      <c r="C113" s="76">
        <f>C12-B113</f>
        <v>5979.5346894864942</v>
      </c>
      <c r="D113" s="76">
        <f t="shared" si="0"/>
        <v>1398376.887653962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</row>
    <row r="114" spans="1:25" ht="14.25" customHeight="1" x14ac:dyDescent="0.15">
      <c r="A114" s="70">
        <v>96</v>
      </c>
      <c r="B114" s="80">
        <f>D113*C9/12</f>
        <v>3787.2707373961475</v>
      </c>
      <c r="C114" s="76">
        <f>C12-B114</f>
        <v>5995.7292626038525</v>
      </c>
      <c r="D114" s="76">
        <f t="shared" si="0"/>
        <v>1392381.1583913581</v>
      </c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</row>
    <row r="115" spans="1:25" ht="14.25" customHeight="1" x14ac:dyDescent="0.15">
      <c r="A115" s="70">
        <v>97</v>
      </c>
      <c r="B115" s="80">
        <f>D114*C9/12</f>
        <v>3771.0323039765949</v>
      </c>
      <c r="C115" s="76">
        <f>C12-B115</f>
        <v>6011.9676960234046</v>
      </c>
      <c r="D115" s="76">
        <f t="shared" si="0"/>
        <v>1386369.1906953347</v>
      </c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</row>
    <row r="116" spans="1:25" ht="14.25" customHeight="1" x14ac:dyDescent="0.15">
      <c r="A116" s="70">
        <v>98</v>
      </c>
      <c r="B116" s="80">
        <f>D115*C9/12</f>
        <v>3754.7498914665316</v>
      </c>
      <c r="C116" s="76">
        <f>C12-B116</f>
        <v>6028.2501085334679</v>
      </c>
      <c r="D116" s="76">
        <f t="shared" si="0"/>
        <v>1380340.9405868012</v>
      </c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</row>
    <row r="117" spans="1:25" ht="14.25" customHeight="1" x14ac:dyDescent="0.15">
      <c r="A117" s="70">
        <v>99</v>
      </c>
      <c r="B117" s="80">
        <f>D116*C9/12</f>
        <v>3738.4233807559199</v>
      </c>
      <c r="C117" s="76">
        <f>C12-B117</f>
        <v>6044.5766192440806</v>
      </c>
      <c r="D117" s="76">
        <f t="shared" si="0"/>
        <v>1374296.363967557</v>
      </c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</row>
    <row r="118" spans="1:25" ht="14.25" customHeight="1" x14ac:dyDescent="0.15">
      <c r="A118" s="70">
        <v>100</v>
      </c>
      <c r="B118" s="80">
        <f>D117*C9/12</f>
        <v>3722.0526524121337</v>
      </c>
      <c r="C118" s="76">
        <f>C12-B118</f>
        <v>6060.9473475878658</v>
      </c>
      <c r="D118" s="76">
        <f t="shared" si="0"/>
        <v>1368235.4166199691</v>
      </c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</row>
    <row r="119" spans="1:25" ht="14.25" customHeight="1" x14ac:dyDescent="0.15">
      <c r="A119" s="70">
        <v>101</v>
      </c>
      <c r="B119" s="80">
        <f>D118*C9/12</f>
        <v>3705.6375866790827</v>
      </c>
      <c r="C119" s="76">
        <f>C12-B119</f>
        <v>6077.3624133209178</v>
      </c>
      <c r="D119" s="76">
        <f t="shared" si="0"/>
        <v>1362158.0542066481</v>
      </c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</row>
    <row r="120" spans="1:25" ht="14.25" customHeight="1" x14ac:dyDescent="0.15">
      <c r="A120" s="70">
        <v>102</v>
      </c>
      <c r="B120" s="80">
        <f>D119*C9/12</f>
        <v>3689.1780634763386</v>
      </c>
      <c r="C120" s="76">
        <f>C12-B120</f>
        <v>6093.8219365236619</v>
      </c>
      <c r="D120" s="76">
        <f t="shared" si="0"/>
        <v>1356064.2322701244</v>
      </c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</row>
    <row r="121" spans="1:25" ht="14.25" customHeight="1" x14ac:dyDescent="0.15">
      <c r="A121" s="70">
        <v>103</v>
      </c>
      <c r="B121" s="80">
        <f>D120*C9/12</f>
        <v>3672.6739623982535</v>
      </c>
      <c r="C121" s="76">
        <f>C12-B121</f>
        <v>6110.3260376017461</v>
      </c>
      <c r="D121" s="76">
        <f t="shared" si="0"/>
        <v>1349953.9062325226</v>
      </c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</row>
    <row r="122" spans="1:25" ht="14.25" customHeight="1" x14ac:dyDescent="0.15">
      <c r="A122" s="70">
        <v>104</v>
      </c>
      <c r="B122" s="80">
        <f>D121*C9/12</f>
        <v>3656.1251627130823</v>
      </c>
      <c r="C122" s="76">
        <f>C12-B122</f>
        <v>6126.8748372869177</v>
      </c>
      <c r="D122" s="76">
        <f t="shared" si="0"/>
        <v>1343827.0313952356</v>
      </c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</row>
    <row r="123" spans="1:25" ht="14.25" customHeight="1" x14ac:dyDescent="0.15">
      <c r="A123" s="70">
        <v>105</v>
      </c>
      <c r="B123" s="80">
        <f>D122*C9/12</f>
        <v>3639.5315433620963</v>
      </c>
      <c r="C123" s="76">
        <f>C12-B123</f>
        <v>6143.4684566379037</v>
      </c>
      <c r="D123" s="76">
        <f t="shared" si="0"/>
        <v>1337683.5629385978</v>
      </c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</row>
    <row r="124" spans="1:25" ht="14.25" customHeight="1" x14ac:dyDescent="0.15">
      <c r="A124" s="70">
        <v>106</v>
      </c>
      <c r="B124" s="80">
        <f>D123*C9/12</f>
        <v>3622.8929829587028</v>
      </c>
      <c r="C124" s="76">
        <f>C12-B124</f>
        <v>6160.1070170412968</v>
      </c>
      <c r="D124" s="76">
        <f t="shared" si="0"/>
        <v>1331523.4559215566</v>
      </c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</row>
    <row r="125" spans="1:25" ht="14.25" customHeight="1" x14ac:dyDescent="0.15">
      <c r="A125" s="70">
        <v>107</v>
      </c>
      <c r="B125" s="80">
        <f>D124*C9/12</f>
        <v>3606.2093597875496</v>
      </c>
      <c r="C125" s="76">
        <f>C12-B125</f>
        <v>6176.7906402124499</v>
      </c>
      <c r="D125" s="76">
        <f t="shared" si="0"/>
        <v>1325346.6652813442</v>
      </c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</row>
    <row r="126" spans="1:25" ht="14.25" customHeight="1" x14ac:dyDescent="0.15">
      <c r="A126" s="70">
        <v>108</v>
      </c>
      <c r="B126" s="80">
        <f>D125*C9/12</f>
        <v>3589.4805518036405</v>
      </c>
      <c r="C126" s="76">
        <f>C12-B126</f>
        <v>6193.519448196359</v>
      </c>
      <c r="D126" s="76">
        <f t="shared" si="0"/>
        <v>1319153.1458331479</v>
      </c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</row>
    <row r="127" spans="1:25" ht="14.25" customHeight="1" x14ac:dyDescent="0.15">
      <c r="A127" s="70">
        <v>109</v>
      </c>
      <c r="B127" s="80">
        <f>D126*C9/12</f>
        <v>3572.7064366314426</v>
      </c>
      <c r="C127" s="76">
        <f>C12-B127</f>
        <v>6210.2935633685574</v>
      </c>
      <c r="D127" s="76">
        <f t="shared" si="0"/>
        <v>1312942.8522697794</v>
      </c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</row>
    <row r="128" spans="1:25" ht="14.25" customHeight="1" x14ac:dyDescent="0.15">
      <c r="A128" s="70">
        <v>110</v>
      </c>
      <c r="B128" s="80">
        <f>D127*C9/12</f>
        <v>3555.8868915639864</v>
      </c>
      <c r="C128" s="76">
        <f>C12-B128</f>
        <v>6227.1131084360131</v>
      </c>
      <c r="D128" s="76">
        <f t="shared" si="0"/>
        <v>1306715.7391613433</v>
      </c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</row>
    <row r="129" spans="1:25" ht="14.25" customHeight="1" x14ac:dyDescent="0.15">
      <c r="A129" s="70">
        <v>111</v>
      </c>
      <c r="B129" s="80">
        <f>D128*C9/12</f>
        <v>3539.0217935619717</v>
      </c>
      <c r="C129" s="76">
        <f>C12-B129</f>
        <v>6243.9782064380288</v>
      </c>
      <c r="D129" s="76">
        <f t="shared" si="0"/>
        <v>1300471.7609549053</v>
      </c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</row>
    <row r="130" spans="1:25" ht="14.25" customHeight="1" x14ac:dyDescent="0.15">
      <c r="A130" s="70">
        <v>112</v>
      </c>
      <c r="B130" s="80">
        <f>D129*C9/12</f>
        <v>3522.1110192528686</v>
      </c>
      <c r="C130" s="76">
        <f>C12-B130</f>
        <v>6260.8889807471314</v>
      </c>
      <c r="D130" s="76">
        <f t="shared" si="0"/>
        <v>1294210.8719741581</v>
      </c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</row>
    <row r="131" spans="1:25" ht="14.25" customHeight="1" x14ac:dyDescent="0.15">
      <c r="A131" s="70">
        <v>113</v>
      </c>
      <c r="B131" s="80">
        <f>D130*C9/12</f>
        <v>3505.1544449300113</v>
      </c>
      <c r="C131" s="76">
        <f>C12-B131</f>
        <v>6277.8455550699891</v>
      </c>
      <c r="D131" s="76">
        <f t="shared" si="0"/>
        <v>1287933.026419088</v>
      </c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</row>
    <row r="132" spans="1:25" ht="14.25" customHeight="1" x14ac:dyDescent="0.15">
      <c r="A132" s="70">
        <v>114</v>
      </c>
      <c r="B132" s="80">
        <f>D131*C9/12</f>
        <v>3488.1519465516972</v>
      </c>
      <c r="C132" s="76">
        <f>C12-B132</f>
        <v>6294.8480534483024</v>
      </c>
      <c r="D132" s="76">
        <f t="shared" si="0"/>
        <v>1281638.1783656396</v>
      </c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</row>
    <row r="133" spans="1:25" ht="14.25" customHeight="1" x14ac:dyDescent="0.15">
      <c r="A133" s="70">
        <v>115</v>
      </c>
      <c r="B133" s="80">
        <f>D132*C9/12</f>
        <v>3471.1033997402742</v>
      </c>
      <c r="C133" s="76">
        <f>C12-B133</f>
        <v>6311.8966002597263</v>
      </c>
      <c r="D133" s="76">
        <f t="shared" si="0"/>
        <v>1275326.2817653799</v>
      </c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</row>
    <row r="134" spans="1:25" ht="14.25" customHeight="1" x14ac:dyDescent="0.15">
      <c r="A134" s="70">
        <v>116</v>
      </c>
      <c r="B134" s="80">
        <f>D133*C9/12</f>
        <v>3454.0086797812378</v>
      </c>
      <c r="C134" s="76">
        <f>C12-B134</f>
        <v>6328.9913202187618</v>
      </c>
      <c r="D134" s="76">
        <f t="shared" si="0"/>
        <v>1268997.2904451613</v>
      </c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</row>
    <row r="135" spans="1:25" ht="14.25" customHeight="1" x14ac:dyDescent="0.15">
      <c r="A135" s="70">
        <v>117</v>
      </c>
      <c r="B135" s="80">
        <f>D134*C9/12</f>
        <v>3436.8676616223115</v>
      </c>
      <c r="C135" s="76">
        <f>C12-B135</f>
        <v>6346.1323383776889</v>
      </c>
      <c r="D135" s="76">
        <f t="shared" si="0"/>
        <v>1262651.1581067836</v>
      </c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</row>
    <row r="136" spans="1:25" ht="14.25" customHeight="1" x14ac:dyDescent="0.15">
      <c r="A136" s="70">
        <v>118</v>
      </c>
      <c r="B136" s="80">
        <f>D135*C9/12</f>
        <v>3419.6802198725395</v>
      </c>
      <c r="C136" s="76">
        <f>C12-B136</f>
        <v>6363.31978012746</v>
      </c>
      <c r="D136" s="76">
        <f t="shared" si="0"/>
        <v>1256287.8383266563</v>
      </c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</row>
    <row r="137" spans="1:25" ht="14.25" customHeight="1" x14ac:dyDescent="0.15">
      <c r="A137" s="70">
        <v>119</v>
      </c>
      <c r="B137" s="80">
        <f>D136*C9/12</f>
        <v>3402.4462288013606</v>
      </c>
      <c r="C137" s="76">
        <f>C12-B137</f>
        <v>6380.5537711986399</v>
      </c>
      <c r="D137" s="76">
        <f t="shared" si="0"/>
        <v>1249907.2845554575</v>
      </c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</row>
    <row r="138" spans="1:25" ht="14.25" customHeight="1" x14ac:dyDescent="0.15">
      <c r="A138" s="70">
        <v>120</v>
      </c>
      <c r="B138" s="80">
        <f>D137*C9/12</f>
        <v>3385.1655623376973</v>
      </c>
      <c r="C138" s="76">
        <f>C12-B138</f>
        <v>6397.8344376623027</v>
      </c>
      <c r="D138" s="76">
        <f t="shared" si="0"/>
        <v>1243509.4501177953</v>
      </c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</row>
    <row r="139" spans="1:25" ht="14.25" customHeight="1" x14ac:dyDescent="0.15">
      <c r="A139" s="70">
        <v>121</v>
      </c>
      <c r="B139" s="80">
        <f>D138*C9/12</f>
        <v>3367.838094069029</v>
      </c>
      <c r="C139" s="76">
        <f>C12-B139</f>
        <v>6415.1619059309705</v>
      </c>
      <c r="D139" s="76">
        <f t="shared" si="0"/>
        <v>1237094.2882118642</v>
      </c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</row>
    <row r="140" spans="1:25" ht="14.25" customHeight="1" x14ac:dyDescent="0.15">
      <c r="A140" s="70">
        <v>122</v>
      </c>
      <c r="B140" s="80">
        <f>D139*C9/12</f>
        <v>3350.4636972404655</v>
      </c>
      <c r="C140" s="76">
        <f>C12-B140</f>
        <v>6432.536302759534</v>
      </c>
      <c r="D140" s="76">
        <f t="shared" si="0"/>
        <v>1230661.7519091046</v>
      </c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</row>
    <row r="141" spans="1:25" ht="14.25" customHeight="1" x14ac:dyDescent="0.15">
      <c r="A141" s="70">
        <v>123</v>
      </c>
      <c r="B141" s="80">
        <f>D140*C9/12</f>
        <v>3333.0422447538253</v>
      </c>
      <c r="C141" s="76">
        <f>C12-B141</f>
        <v>6449.9577552461742</v>
      </c>
      <c r="D141" s="76">
        <f t="shared" si="0"/>
        <v>1224211.7941538584</v>
      </c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</row>
    <row r="142" spans="1:25" ht="14.25" customHeight="1" x14ac:dyDescent="0.15">
      <c r="A142" s="70">
        <v>124</v>
      </c>
      <c r="B142" s="80">
        <f>D141*C9/12</f>
        <v>3315.5736091667</v>
      </c>
      <c r="C142" s="76">
        <f>C12-B142</f>
        <v>6467.4263908332996</v>
      </c>
      <c r="D142" s="76">
        <f t="shared" si="0"/>
        <v>1217744.3677630252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</row>
    <row r="143" spans="1:25" ht="14.25" customHeight="1" x14ac:dyDescent="0.15">
      <c r="A143" s="70">
        <v>125</v>
      </c>
      <c r="B143" s="80">
        <f>D142*C9/12</f>
        <v>3298.0576626915267</v>
      </c>
      <c r="C143" s="76">
        <f>C12-B143</f>
        <v>6484.9423373084737</v>
      </c>
      <c r="D143" s="76">
        <f t="shared" si="0"/>
        <v>1211259.4254257167</v>
      </c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</row>
    <row r="144" spans="1:25" ht="14.25" customHeight="1" x14ac:dyDescent="0.15">
      <c r="A144" s="70">
        <v>126</v>
      </c>
      <c r="B144" s="80">
        <f>D143*C9/12</f>
        <v>3280.4942771946494</v>
      </c>
      <c r="C144" s="76">
        <f>C12-B144</f>
        <v>6502.5057228053502</v>
      </c>
      <c r="D144" s="76">
        <f t="shared" si="0"/>
        <v>1204756.9197029113</v>
      </c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</row>
    <row r="145" spans="1:25" ht="14.25" customHeight="1" x14ac:dyDescent="0.15">
      <c r="A145" s="70">
        <v>127</v>
      </c>
      <c r="B145" s="80">
        <f>D144*C9/12</f>
        <v>3262.8833241953848</v>
      </c>
      <c r="C145" s="76">
        <f>C12-B145</f>
        <v>6520.1166758046147</v>
      </c>
      <c r="D145" s="76">
        <f t="shared" si="0"/>
        <v>1198236.8030271067</v>
      </c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</row>
    <row r="146" spans="1:25" ht="14.25" customHeight="1" x14ac:dyDescent="0.15">
      <c r="A146" s="70">
        <v>128</v>
      </c>
      <c r="B146" s="80">
        <f>D145*C9/12</f>
        <v>3245.2246748650809</v>
      </c>
      <c r="C146" s="76">
        <f>C12-B146</f>
        <v>6537.7753251349186</v>
      </c>
      <c r="D146" s="76">
        <f t="shared" si="0"/>
        <v>1191699.0277019718</v>
      </c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</row>
    <row r="147" spans="1:25" ht="14.25" customHeight="1" x14ac:dyDescent="0.15">
      <c r="A147" s="70">
        <v>129</v>
      </c>
      <c r="B147" s="80">
        <f>D146*C9/12</f>
        <v>3227.5182000261739</v>
      </c>
      <c r="C147" s="76">
        <f>C12-B147</f>
        <v>6555.4817999738261</v>
      </c>
      <c r="D147" s="76">
        <f t="shared" si="0"/>
        <v>1185143.5459019979</v>
      </c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</row>
    <row r="148" spans="1:25" ht="14.25" customHeight="1" x14ac:dyDescent="0.15">
      <c r="A148" s="70">
        <v>130</v>
      </c>
      <c r="B148" s="80">
        <f>D147*C9/12</f>
        <v>3209.7637701512444</v>
      </c>
      <c r="C148" s="76">
        <f>C12-B148</f>
        <v>6573.2362298487551</v>
      </c>
      <c r="D148" s="76">
        <f t="shared" si="0"/>
        <v>1178570.3096721491</v>
      </c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</row>
    <row r="149" spans="1:25" ht="14.25" customHeight="1" x14ac:dyDescent="0.15">
      <c r="A149" s="70">
        <v>131</v>
      </c>
      <c r="B149" s="80">
        <f>D148*C9/12</f>
        <v>3191.9612553620705</v>
      </c>
      <c r="C149" s="76">
        <f>C12-B149</f>
        <v>6591.03874463793</v>
      </c>
      <c r="D149" s="76">
        <f t="shared" si="0"/>
        <v>1171979.2709275112</v>
      </c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</row>
    <row r="150" spans="1:25" ht="14.25" customHeight="1" x14ac:dyDescent="0.15">
      <c r="A150" s="70">
        <v>132</v>
      </c>
      <c r="B150" s="80">
        <f>D149*C9/12</f>
        <v>3174.1105254286763</v>
      </c>
      <c r="C150" s="76">
        <f>C12-B150</f>
        <v>6608.8894745713242</v>
      </c>
      <c r="D150" s="76">
        <f t="shared" si="0"/>
        <v>1165370.3814529399</v>
      </c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</row>
    <row r="151" spans="1:25" ht="14.25" customHeight="1" x14ac:dyDescent="0.15">
      <c r="A151" s="70">
        <v>133</v>
      </c>
      <c r="B151" s="80">
        <f>D150*C9/12</f>
        <v>3156.2114497683792</v>
      </c>
      <c r="C151" s="76">
        <f>C12-B151</f>
        <v>6626.7885502316203</v>
      </c>
      <c r="D151" s="76">
        <f t="shared" si="0"/>
        <v>1158743.5929027083</v>
      </c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</row>
    <row r="152" spans="1:25" ht="14.25" customHeight="1" x14ac:dyDescent="0.15">
      <c r="A152" s="70">
        <v>134</v>
      </c>
      <c r="B152" s="80">
        <f>D151*C9/12</f>
        <v>3138.263897444835</v>
      </c>
      <c r="C152" s="76">
        <f>C12-B152</f>
        <v>6644.7361025551654</v>
      </c>
      <c r="D152" s="76">
        <f t="shared" si="0"/>
        <v>1152098.8568001532</v>
      </c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</row>
    <row r="153" spans="1:25" ht="14.25" customHeight="1" x14ac:dyDescent="0.15">
      <c r="A153" s="70">
        <v>135</v>
      </c>
      <c r="B153" s="80">
        <f>D152*C9/12</f>
        <v>3120.2677371670816</v>
      </c>
      <c r="C153" s="76">
        <f>C12-B153</f>
        <v>6662.7322628329184</v>
      </c>
      <c r="D153" s="76">
        <f t="shared" si="0"/>
        <v>1145436.1245373203</v>
      </c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</row>
    <row r="154" spans="1:25" ht="14.25" customHeight="1" x14ac:dyDescent="0.15">
      <c r="A154" s="70">
        <v>136</v>
      </c>
      <c r="B154" s="80">
        <f>D153*C9/12</f>
        <v>3102.2228372885761</v>
      </c>
      <c r="C154" s="76">
        <f>C12-B154</f>
        <v>6680.7771627114234</v>
      </c>
      <c r="D154" s="76">
        <f t="shared" si="0"/>
        <v>1138755.347374609</v>
      </c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</row>
    <row r="155" spans="1:25" ht="14.25" customHeight="1" x14ac:dyDescent="0.15">
      <c r="A155" s="70">
        <v>137</v>
      </c>
      <c r="B155" s="80">
        <f>D154*C9/12</f>
        <v>3084.129065806233</v>
      </c>
      <c r="C155" s="76">
        <f>C12-B155</f>
        <v>6698.8709341937665</v>
      </c>
      <c r="D155" s="76">
        <f t="shared" si="0"/>
        <v>1132056.4764404153</v>
      </c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</row>
    <row r="156" spans="1:25" ht="14.25" customHeight="1" x14ac:dyDescent="0.15">
      <c r="A156" s="70">
        <v>138</v>
      </c>
      <c r="B156" s="80">
        <f>D155*C9/12</f>
        <v>3065.9862903594581</v>
      </c>
      <c r="C156" s="76">
        <f>C12-B156</f>
        <v>6717.0137096405415</v>
      </c>
      <c r="D156" s="76">
        <f t="shared" si="0"/>
        <v>1125339.4627307747</v>
      </c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</row>
    <row r="157" spans="1:25" ht="14.25" customHeight="1" x14ac:dyDescent="0.15">
      <c r="A157" s="70">
        <v>139</v>
      </c>
      <c r="B157" s="80">
        <f>D156*C9/12</f>
        <v>3047.7943782291818</v>
      </c>
      <c r="C157" s="76">
        <f>C12-B157</f>
        <v>6735.2056217708177</v>
      </c>
      <c r="D157" s="76">
        <f t="shared" si="0"/>
        <v>1118604.2571090038</v>
      </c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</row>
    <row r="158" spans="1:25" ht="14.25" customHeight="1" x14ac:dyDescent="0.15">
      <c r="A158" s="70">
        <v>140</v>
      </c>
      <c r="B158" s="80">
        <f>D157*C9/12</f>
        <v>3029.5531963368853</v>
      </c>
      <c r="C158" s="76">
        <f>C12-B158</f>
        <v>6753.4468036631151</v>
      </c>
      <c r="D158" s="76">
        <f t="shared" si="0"/>
        <v>1111850.8103053407</v>
      </c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</row>
    <row r="159" spans="1:25" ht="14.25" customHeight="1" x14ac:dyDescent="0.15">
      <c r="A159" s="70">
        <v>141</v>
      </c>
      <c r="B159" s="80">
        <f>D158*C9/12</f>
        <v>3011.2626112436315</v>
      </c>
      <c r="C159" s="76">
        <f>C12-B159</f>
        <v>6771.7373887563681</v>
      </c>
      <c r="D159" s="76">
        <f t="shared" si="0"/>
        <v>1105079.0729165843</v>
      </c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</row>
    <row r="160" spans="1:25" ht="14.25" customHeight="1" x14ac:dyDescent="0.15">
      <c r="A160" s="70">
        <v>142</v>
      </c>
      <c r="B160" s="80">
        <f>D159*C9/12</f>
        <v>2992.9224891490826</v>
      </c>
      <c r="C160" s="76">
        <f>C12-B160</f>
        <v>6790.077510850917</v>
      </c>
      <c r="D160" s="76">
        <f t="shared" si="0"/>
        <v>1098288.9954057334</v>
      </c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</row>
    <row r="161" spans="1:25" ht="14.25" customHeight="1" x14ac:dyDescent="0.15">
      <c r="A161" s="70">
        <v>143</v>
      </c>
      <c r="B161" s="80">
        <f>D160*C9/12</f>
        <v>2974.532695890528</v>
      </c>
      <c r="C161" s="76">
        <f>C12-B161</f>
        <v>6808.467304109472</v>
      </c>
      <c r="D161" s="76">
        <f t="shared" si="0"/>
        <v>1091480.528101624</v>
      </c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</row>
    <row r="162" spans="1:25" ht="14.25" customHeight="1" x14ac:dyDescent="0.15">
      <c r="A162" s="70">
        <v>144</v>
      </c>
      <c r="B162" s="80">
        <f>D161*C9/12</f>
        <v>2956.0930969418987</v>
      </c>
      <c r="C162" s="76">
        <f>C12-B162</f>
        <v>6826.9069030581013</v>
      </c>
      <c r="D162" s="76">
        <f t="shared" si="0"/>
        <v>1084653.6211985659</v>
      </c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</row>
    <row r="163" spans="1:25" ht="14.25" customHeight="1" x14ac:dyDescent="0.15">
      <c r="A163" s="70">
        <v>145</v>
      </c>
      <c r="B163" s="80">
        <f>D162*C9/12</f>
        <v>2937.6035574127832</v>
      </c>
      <c r="C163" s="76">
        <f>C12-B163</f>
        <v>6845.3964425872164</v>
      </c>
      <c r="D163" s="76">
        <f t="shared" si="0"/>
        <v>1077808.2247559787</v>
      </c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</row>
    <row r="164" spans="1:25" ht="14.25" customHeight="1" x14ac:dyDescent="0.15">
      <c r="A164" s="70">
        <v>146</v>
      </c>
      <c r="B164" s="80">
        <f>D163*C9/12</f>
        <v>2919.0639420474422</v>
      </c>
      <c r="C164" s="76">
        <f>C12-B164</f>
        <v>6863.9360579525583</v>
      </c>
      <c r="D164" s="76">
        <f t="shared" si="0"/>
        <v>1070944.2886980262</v>
      </c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</row>
    <row r="165" spans="1:25" ht="14.25" customHeight="1" x14ac:dyDescent="0.15">
      <c r="A165" s="70">
        <v>147</v>
      </c>
      <c r="B165" s="80">
        <f>D164*C9/12</f>
        <v>2900.4741152238207</v>
      </c>
      <c r="C165" s="76">
        <f>C12-B165</f>
        <v>6882.5258847761797</v>
      </c>
      <c r="D165" s="76">
        <f t="shared" si="0"/>
        <v>1064061.7628132501</v>
      </c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</row>
    <row r="166" spans="1:25" ht="14.25" customHeight="1" x14ac:dyDescent="0.15">
      <c r="A166" s="70">
        <v>148</v>
      </c>
      <c r="B166" s="80">
        <f>D165*C9/12</f>
        <v>2881.8339409525524</v>
      </c>
      <c r="C166" s="76">
        <f>C12-B166</f>
        <v>6901.1660590474476</v>
      </c>
      <c r="D166" s="76">
        <f t="shared" si="0"/>
        <v>1057160.5967542026</v>
      </c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</row>
    <row r="167" spans="1:25" ht="14.25" customHeight="1" x14ac:dyDescent="0.15">
      <c r="A167" s="70">
        <v>149</v>
      </c>
      <c r="B167" s="80">
        <f>D166*C9/12</f>
        <v>2863.1432828759657</v>
      </c>
      <c r="C167" s="76">
        <f>C12-B167</f>
        <v>6919.8567171240338</v>
      </c>
      <c r="D167" s="76">
        <f t="shared" si="0"/>
        <v>1050240.7400370785</v>
      </c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</row>
    <row r="168" spans="1:25" ht="14.25" customHeight="1" x14ac:dyDescent="0.15">
      <c r="A168" s="70">
        <v>150</v>
      </c>
      <c r="B168" s="80">
        <f>D167*C9/12</f>
        <v>2844.4020042670877</v>
      </c>
      <c r="C168" s="76">
        <f>C12-B168</f>
        <v>6938.5979957329128</v>
      </c>
      <c r="D168" s="76">
        <f t="shared" si="0"/>
        <v>1043302.1420413456</v>
      </c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</row>
    <row r="169" spans="1:25" ht="14.25" customHeight="1" x14ac:dyDescent="0.15">
      <c r="A169" s="70">
        <v>151</v>
      </c>
      <c r="B169" s="80">
        <f>D168*C9/12</f>
        <v>2825.6099680286443</v>
      </c>
      <c r="C169" s="76">
        <f>C12-B169</f>
        <v>6957.3900319713557</v>
      </c>
      <c r="D169" s="76">
        <f t="shared" si="0"/>
        <v>1036344.7520093742</v>
      </c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</row>
    <row r="170" spans="1:25" ht="14.25" customHeight="1" x14ac:dyDescent="0.15">
      <c r="A170" s="70">
        <v>152</v>
      </c>
      <c r="B170" s="80">
        <f>D169*C9/12</f>
        <v>2806.7670366920552</v>
      </c>
      <c r="C170" s="76">
        <f>C12-B170</f>
        <v>6976.2329633079444</v>
      </c>
      <c r="D170" s="76">
        <f t="shared" si="0"/>
        <v>1029368.5190460662</v>
      </c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</row>
    <row r="171" spans="1:25" ht="14.25" customHeight="1" x14ac:dyDescent="0.15">
      <c r="A171" s="70">
        <v>153</v>
      </c>
      <c r="B171" s="80">
        <f>D170*C9/12</f>
        <v>2787.8730724164293</v>
      </c>
      <c r="C171" s="76">
        <f>C12-B171</f>
        <v>6995.1269275835712</v>
      </c>
      <c r="D171" s="76">
        <f t="shared" si="0"/>
        <v>1022373.3921184826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</row>
    <row r="172" spans="1:25" ht="14.25" customHeight="1" x14ac:dyDescent="0.15">
      <c r="A172" s="70">
        <v>154</v>
      </c>
      <c r="B172" s="80">
        <f>D171*C9/12</f>
        <v>2768.9279369875571</v>
      </c>
      <c r="C172" s="76">
        <f>C12-B172</f>
        <v>7014.0720630124433</v>
      </c>
      <c r="D172" s="76">
        <f t="shared" si="0"/>
        <v>1015359.3200554702</v>
      </c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</row>
    <row r="173" spans="1:25" ht="14.25" customHeight="1" x14ac:dyDescent="0.15">
      <c r="A173" s="70">
        <v>155</v>
      </c>
      <c r="B173" s="80">
        <f>D172*C9/12</f>
        <v>2749.9314918168984</v>
      </c>
      <c r="C173" s="76">
        <f>C12-B173</f>
        <v>7033.0685081831016</v>
      </c>
      <c r="D173" s="76">
        <f t="shared" si="0"/>
        <v>1008326.2515472871</v>
      </c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</row>
    <row r="174" spans="1:25" ht="14.25" customHeight="1" x14ac:dyDescent="0.15">
      <c r="A174" s="70">
        <v>156</v>
      </c>
      <c r="B174" s="80">
        <f>D173*C9/12</f>
        <v>2730.883597940569</v>
      </c>
      <c r="C174" s="76">
        <f>C12-B174</f>
        <v>7052.1164020594315</v>
      </c>
      <c r="D174" s="76">
        <f t="shared" si="0"/>
        <v>1001274.1351452277</v>
      </c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</row>
    <row r="175" spans="1:25" ht="14.25" customHeight="1" x14ac:dyDescent="0.15">
      <c r="A175" s="70">
        <v>157</v>
      </c>
      <c r="B175" s="80">
        <f>D174*C9/12</f>
        <v>2711.7841160183248</v>
      </c>
      <c r="C175" s="76">
        <f>C12-B175</f>
        <v>7071.2158839816748</v>
      </c>
      <c r="D175" s="76">
        <f t="shared" si="0"/>
        <v>994202.91926124599</v>
      </c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</row>
    <row r="176" spans="1:25" ht="14.25" customHeight="1" x14ac:dyDescent="0.15">
      <c r="A176" s="70">
        <v>158</v>
      </c>
      <c r="B176" s="80">
        <f>D175*C9/12</f>
        <v>2692.6329063325416</v>
      </c>
      <c r="C176" s="76">
        <f>C12-B176</f>
        <v>7090.3670936674589</v>
      </c>
      <c r="D176" s="76">
        <f t="shared" si="0"/>
        <v>987112.55216757848</v>
      </c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</row>
    <row r="177" spans="1:25" ht="14.25" customHeight="1" x14ac:dyDescent="0.15">
      <c r="A177" s="70">
        <v>159</v>
      </c>
      <c r="B177" s="80">
        <f>D176*C9/12</f>
        <v>2673.429828787192</v>
      </c>
      <c r="C177" s="76">
        <f>C12-B177</f>
        <v>7109.5701712128084</v>
      </c>
      <c r="D177" s="76">
        <f t="shared" si="0"/>
        <v>980002.98199636571</v>
      </c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</row>
    <row r="178" spans="1:25" ht="14.25" customHeight="1" x14ac:dyDescent="0.15">
      <c r="A178" s="70">
        <v>160</v>
      </c>
      <c r="B178" s="80">
        <f>D177*C9/12</f>
        <v>2654.1747429068241</v>
      </c>
      <c r="C178" s="76">
        <f>C12-B178</f>
        <v>7128.8252570931763</v>
      </c>
      <c r="D178" s="76">
        <f t="shared" si="0"/>
        <v>972874.15673927253</v>
      </c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</row>
    <row r="179" spans="1:25" ht="14.25" customHeight="1" x14ac:dyDescent="0.15">
      <c r="A179" s="70">
        <v>161</v>
      </c>
      <c r="B179" s="80">
        <f>D178*C9/12</f>
        <v>2634.86750783553</v>
      </c>
      <c r="C179" s="76">
        <f>C12-B179</f>
        <v>7148.13249216447</v>
      </c>
      <c r="D179" s="76">
        <f t="shared" si="0"/>
        <v>965726.02424710803</v>
      </c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</row>
    <row r="180" spans="1:25" ht="14.25" customHeight="1" x14ac:dyDescent="0.15">
      <c r="A180" s="70">
        <v>162</v>
      </c>
      <c r="B180" s="80">
        <f>D179*C9/12</f>
        <v>2615.5079823359179</v>
      </c>
      <c r="C180" s="76">
        <f>C12-B180</f>
        <v>7167.4920176640826</v>
      </c>
      <c r="D180" s="76">
        <f t="shared" si="0"/>
        <v>958558.5322294439</v>
      </c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</row>
    <row r="181" spans="1:25" ht="14.25" customHeight="1" x14ac:dyDescent="0.15">
      <c r="A181" s="70">
        <v>163</v>
      </c>
      <c r="B181" s="80">
        <f>D180*C9/12</f>
        <v>2596.0960247880771</v>
      </c>
      <c r="C181" s="76">
        <f>C12-B181</f>
        <v>7186.9039752119224</v>
      </c>
      <c r="D181" s="76">
        <f t="shared" si="0"/>
        <v>951371.628254232</v>
      </c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</row>
    <row r="182" spans="1:25" ht="14.25" customHeight="1" x14ac:dyDescent="0.15">
      <c r="A182" s="70">
        <v>164</v>
      </c>
      <c r="B182" s="80">
        <f>D181*C9/12</f>
        <v>2576.6314931885449</v>
      </c>
      <c r="C182" s="76">
        <f>C12-B182</f>
        <v>7206.3685068114555</v>
      </c>
      <c r="D182" s="76">
        <f t="shared" si="0"/>
        <v>944165.25974742055</v>
      </c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</row>
    <row r="183" spans="1:25" ht="14.25" customHeight="1" x14ac:dyDescent="0.15">
      <c r="A183" s="70">
        <v>165</v>
      </c>
      <c r="B183" s="80">
        <f>D182*C9/12</f>
        <v>2557.1142451492642</v>
      </c>
      <c r="C183" s="76">
        <f>C12-B183</f>
        <v>7225.8857548507358</v>
      </c>
      <c r="D183" s="76">
        <f t="shared" si="0"/>
        <v>936939.37399256986</v>
      </c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</row>
    <row r="184" spans="1:25" ht="14.25" customHeight="1" x14ac:dyDescent="0.15">
      <c r="A184" s="70">
        <v>166</v>
      </c>
      <c r="B184" s="80">
        <f>D183*C9/12</f>
        <v>2537.5441378965434</v>
      </c>
      <c r="C184" s="76">
        <f>C12-B184</f>
        <v>7245.4558621034566</v>
      </c>
      <c r="D184" s="76">
        <f t="shared" si="0"/>
        <v>929693.91813046637</v>
      </c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</row>
    <row r="185" spans="1:25" ht="14.25" customHeight="1" x14ac:dyDescent="0.15">
      <c r="A185" s="70">
        <v>167</v>
      </c>
      <c r="B185" s="80">
        <f>D184*C9/12</f>
        <v>2517.9210282700133</v>
      </c>
      <c r="C185" s="76">
        <f>C12-B185</f>
        <v>7265.0789717299867</v>
      </c>
      <c r="D185" s="76">
        <f t="shared" si="0"/>
        <v>922428.8391587364</v>
      </c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</row>
    <row r="186" spans="1:25" ht="14.25" customHeight="1" x14ac:dyDescent="0.15">
      <c r="A186" s="70">
        <v>168</v>
      </c>
      <c r="B186" s="80">
        <f>D185*C9/12</f>
        <v>2498.2447727215781</v>
      </c>
      <c r="C186" s="76">
        <f>C12-B186</f>
        <v>7284.7552272784214</v>
      </c>
      <c r="D186" s="76">
        <f t="shared" si="0"/>
        <v>915144.08393145795</v>
      </c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</row>
    <row r="187" spans="1:25" ht="14.25" customHeight="1" x14ac:dyDescent="0.15">
      <c r="A187" s="70">
        <v>169</v>
      </c>
      <c r="B187" s="80">
        <f>D186*C9/12</f>
        <v>2478.5152273143653</v>
      </c>
      <c r="C187" s="76">
        <f>C12-B187</f>
        <v>7304.4847726856351</v>
      </c>
      <c r="D187" s="76">
        <f t="shared" si="0"/>
        <v>907839.59915877227</v>
      </c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</row>
    <row r="188" spans="1:25" ht="14.25" customHeight="1" x14ac:dyDescent="0.15">
      <c r="A188" s="70">
        <v>170</v>
      </c>
      <c r="B188" s="80">
        <f>D187*C9/12</f>
        <v>2458.7322477216749</v>
      </c>
      <c r="C188" s="76">
        <f>C12-B188</f>
        <v>7324.2677522783251</v>
      </c>
      <c r="D188" s="76">
        <f t="shared" si="0"/>
        <v>900515.3314064939</v>
      </c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</row>
    <row r="189" spans="1:25" ht="14.25" customHeight="1" x14ac:dyDescent="0.15">
      <c r="A189" s="70">
        <v>171</v>
      </c>
      <c r="B189" s="80">
        <f>D188*C9/12</f>
        <v>2438.8956892259212</v>
      </c>
      <c r="C189" s="76">
        <f>C12-B189</f>
        <v>7344.1043107740788</v>
      </c>
      <c r="D189" s="76">
        <f t="shared" si="0"/>
        <v>893171.22709571978</v>
      </c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</row>
    <row r="190" spans="1:25" ht="14.25" customHeight="1" x14ac:dyDescent="0.15">
      <c r="A190" s="70">
        <v>172</v>
      </c>
      <c r="B190" s="80">
        <f>D189*C9/12</f>
        <v>2419.0054067175747</v>
      </c>
      <c r="C190" s="76">
        <f>C12-B190</f>
        <v>7363.9945932824248</v>
      </c>
      <c r="D190" s="76">
        <f t="shared" si="0"/>
        <v>885807.23250243731</v>
      </c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</row>
    <row r="191" spans="1:25" ht="14.25" customHeight="1" x14ac:dyDescent="0.15">
      <c r="A191" s="70">
        <v>173</v>
      </c>
      <c r="B191" s="80">
        <f>D190*C9/12</f>
        <v>2399.0612546941011</v>
      </c>
      <c r="C191" s="76">
        <f>C12-B191</f>
        <v>7383.9387453058989</v>
      </c>
      <c r="D191" s="76">
        <f t="shared" si="0"/>
        <v>878423.29375713144</v>
      </c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</row>
    <row r="192" spans="1:25" ht="14.25" customHeight="1" x14ac:dyDescent="0.15">
      <c r="A192" s="70">
        <v>174</v>
      </c>
      <c r="B192" s="80">
        <f>D191*C9/12</f>
        <v>2379.0630872588977</v>
      </c>
      <c r="C192" s="76">
        <f>C12-B192</f>
        <v>7403.9369127411028</v>
      </c>
      <c r="D192" s="76">
        <f t="shared" si="0"/>
        <v>871019.35684439039</v>
      </c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</row>
    <row r="193" spans="1:25" ht="14.25" customHeight="1" x14ac:dyDescent="0.15">
      <c r="A193" s="70">
        <v>175</v>
      </c>
      <c r="B193" s="80">
        <f>D192*C9/12</f>
        <v>2359.0107581202242</v>
      </c>
      <c r="C193" s="76">
        <f>C12-B193</f>
        <v>7423.9892418797754</v>
      </c>
      <c r="D193" s="76">
        <f t="shared" si="0"/>
        <v>863595.36760251061</v>
      </c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</row>
    <row r="194" spans="1:25" ht="14.25" customHeight="1" x14ac:dyDescent="0.15">
      <c r="A194" s="70">
        <v>176</v>
      </c>
      <c r="B194" s="80">
        <f>D193*C9/12</f>
        <v>2338.9041205901331</v>
      </c>
      <c r="C194" s="76">
        <f>C12-B194</f>
        <v>7444.0958794098669</v>
      </c>
      <c r="D194" s="76">
        <f t="shared" si="0"/>
        <v>856151.2717231008</v>
      </c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</row>
    <row r="195" spans="1:25" ht="14.25" customHeight="1" x14ac:dyDescent="0.15">
      <c r="A195" s="70">
        <v>177</v>
      </c>
      <c r="B195" s="80">
        <f>D194*C9/12</f>
        <v>2318.7430275833981</v>
      </c>
      <c r="C195" s="76">
        <f>C12-B195</f>
        <v>7464.2569724166024</v>
      </c>
      <c r="D195" s="76">
        <f t="shared" si="0"/>
        <v>848687.01475068415</v>
      </c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</row>
    <row r="196" spans="1:25" ht="14.25" customHeight="1" x14ac:dyDescent="0.15">
      <c r="A196" s="70">
        <v>178</v>
      </c>
      <c r="B196" s="80">
        <f>D195*C9/12</f>
        <v>2298.5273316164362</v>
      </c>
      <c r="C196" s="76">
        <f>C12-B196</f>
        <v>7484.4726683835634</v>
      </c>
      <c r="D196" s="76">
        <f t="shared" si="0"/>
        <v>841202.54208230053</v>
      </c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</row>
    <row r="197" spans="1:25" ht="14.25" customHeight="1" x14ac:dyDescent="0.15">
      <c r="A197" s="70">
        <v>179</v>
      </c>
      <c r="B197" s="80">
        <f>D196*C9/12</f>
        <v>2278.2568848062306</v>
      </c>
      <c r="C197" s="76">
        <f>C12-B197</f>
        <v>7504.743115193769</v>
      </c>
      <c r="D197" s="76">
        <f t="shared" si="0"/>
        <v>833697.79896710673</v>
      </c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</row>
    <row r="198" spans="1:25" ht="14.25" customHeight="1" x14ac:dyDescent="0.15">
      <c r="A198" s="70">
        <v>180</v>
      </c>
      <c r="B198" s="80">
        <f>D197*C9/12</f>
        <v>2257.9315388692476</v>
      </c>
      <c r="C198" s="76">
        <f>C12-B198</f>
        <v>7525.0684611307524</v>
      </c>
      <c r="D198" s="76">
        <f t="shared" si="0"/>
        <v>826172.73050597601</v>
      </c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</row>
    <row r="199" spans="1:25" ht="14.25" customHeight="1" x14ac:dyDescent="0.15">
      <c r="A199" s="70">
        <v>181</v>
      </c>
      <c r="B199" s="80">
        <f>D198*C9/12</f>
        <v>2237.5511451203515</v>
      </c>
      <c r="C199" s="76">
        <f>C12-B199</f>
        <v>7545.4488548796489</v>
      </c>
      <c r="D199" s="76">
        <f t="shared" si="0"/>
        <v>818627.28165109642</v>
      </c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</row>
    <row r="200" spans="1:25" ht="14.25" customHeight="1" x14ac:dyDescent="0.15">
      <c r="A200" s="70">
        <v>182</v>
      </c>
      <c r="B200" s="80">
        <f>D199*C9/12</f>
        <v>2217.1155544717194</v>
      </c>
      <c r="C200" s="76">
        <f>C12-B200</f>
        <v>7565.8844455282806</v>
      </c>
      <c r="D200" s="76">
        <f t="shared" si="0"/>
        <v>811061.39720556815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</row>
    <row r="201" spans="1:25" ht="14.25" customHeight="1" x14ac:dyDescent="0.15">
      <c r="A201" s="70">
        <v>183</v>
      </c>
      <c r="B201" s="80">
        <f>D200*C9/12</f>
        <v>2196.6246174317471</v>
      </c>
      <c r="C201" s="76">
        <f>C12-B201</f>
        <v>7586.3753825682525</v>
      </c>
      <c r="D201" s="76">
        <f t="shared" si="0"/>
        <v>803475.02182299993</v>
      </c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</row>
    <row r="202" spans="1:25" ht="14.25" customHeight="1" x14ac:dyDescent="0.15">
      <c r="A202" s="70">
        <v>184</v>
      </c>
      <c r="B202" s="80">
        <f>D201*C9/12</f>
        <v>2176.0781841039584</v>
      </c>
      <c r="C202" s="76">
        <f>C12-B202</f>
        <v>7606.9218158960412</v>
      </c>
      <c r="D202" s="76">
        <f t="shared" si="0"/>
        <v>795868.10000710387</v>
      </c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</row>
    <row r="203" spans="1:25" ht="14.25" customHeight="1" x14ac:dyDescent="0.15">
      <c r="A203" s="70">
        <v>185</v>
      </c>
      <c r="B203" s="80">
        <f>D202*C9/12</f>
        <v>2155.4761041859065</v>
      </c>
      <c r="C203" s="76">
        <f>C12-B203</f>
        <v>7627.5238958140935</v>
      </c>
      <c r="D203" s="76">
        <f t="shared" si="0"/>
        <v>788240.57611128979</v>
      </c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</row>
    <row r="204" spans="1:25" ht="14.25" customHeight="1" x14ac:dyDescent="0.15">
      <c r="A204" s="70">
        <v>186</v>
      </c>
      <c r="B204" s="80">
        <f>D203*C9/12</f>
        <v>2134.8182269680765</v>
      </c>
      <c r="C204" s="76">
        <f>C12-B204</f>
        <v>7648.1817730319235</v>
      </c>
      <c r="D204" s="76">
        <f t="shared" si="0"/>
        <v>780592.39433825784</v>
      </c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</row>
    <row r="205" spans="1:25" ht="14.25" customHeight="1" x14ac:dyDescent="0.15">
      <c r="A205" s="70">
        <v>187</v>
      </c>
      <c r="B205" s="80">
        <f>D204*C9/12</f>
        <v>2114.1044013327814</v>
      </c>
      <c r="C205" s="76">
        <f>C12-B205</f>
        <v>7668.895598667219</v>
      </c>
      <c r="D205" s="76">
        <f t="shared" si="0"/>
        <v>772923.49873959064</v>
      </c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</row>
    <row r="206" spans="1:25" ht="14.25" customHeight="1" x14ac:dyDescent="0.15">
      <c r="A206" s="70">
        <v>188</v>
      </c>
      <c r="B206" s="80">
        <f>D205*C9/12</f>
        <v>2093.3344757530581</v>
      </c>
      <c r="C206" s="76">
        <f>C12-B206</f>
        <v>7689.6655242469424</v>
      </c>
      <c r="D206" s="76">
        <f t="shared" si="0"/>
        <v>765233.83321534365</v>
      </c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</row>
    <row r="207" spans="1:25" ht="14.25" customHeight="1" x14ac:dyDescent="0.15">
      <c r="A207" s="70">
        <v>189</v>
      </c>
      <c r="B207" s="80">
        <f>D206*C9/12</f>
        <v>2072.508298291556</v>
      </c>
      <c r="C207" s="76">
        <f>C12-B207</f>
        <v>7710.4917017084445</v>
      </c>
      <c r="D207" s="76">
        <f t="shared" si="0"/>
        <v>757523.34151363524</v>
      </c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</row>
    <row r="208" spans="1:25" ht="14.25" customHeight="1" x14ac:dyDescent="0.15">
      <c r="A208" s="70">
        <v>190</v>
      </c>
      <c r="B208" s="80">
        <f>D207*C9/12</f>
        <v>2051.6257165994289</v>
      </c>
      <c r="C208" s="76">
        <f>C12-B208</f>
        <v>7731.3742834005716</v>
      </c>
      <c r="D208" s="76">
        <f t="shared" si="0"/>
        <v>749791.96723023464</v>
      </c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</row>
    <row r="209" spans="1:25" ht="14.25" customHeight="1" x14ac:dyDescent="0.15">
      <c r="A209" s="70">
        <v>191</v>
      </c>
      <c r="B209" s="80">
        <f>D208*C9/12</f>
        <v>2030.6865779152188</v>
      </c>
      <c r="C209" s="76">
        <f>C12-B209</f>
        <v>7752.3134220847815</v>
      </c>
      <c r="D209" s="76">
        <f t="shared" si="0"/>
        <v>742039.65380814986</v>
      </c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</row>
    <row r="210" spans="1:25" ht="14.25" customHeight="1" x14ac:dyDescent="0.15">
      <c r="A210" s="70">
        <v>192</v>
      </c>
      <c r="B210" s="80">
        <f>D209*C9/12</f>
        <v>2009.6907290637391</v>
      </c>
      <c r="C210" s="76">
        <f>C12-B210</f>
        <v>7773.3092709362609</v>
      </c>
      <c r="D210" s="76">
        <f t="shared" si="0"/>
        <v>734266.34453721356</v>
      </c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</row>
    <row r="211" spans="1:25" ht="14.25" customHeight="1" x14ac:dyDescent="0.15">
      <c r="A211" s="70">
        <v>193</v>
      </c>
      <c r="B211" s="80">
        <f>D210*C9/12</f>
        <v>1988.6380164549535</v>
      </c>
      <c r="C211" s="76">
        <f>C12-B211</f>
        <v>7794.3619835450463</v>
      </c>
      <c r="D211" s="76">
        <f t="shared" si="0"/>
        <v>726471.98255366855</v>
      </c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</row>
    <row r="212" spans="1:25" ht="14.25" customHeight="1" x14ac:dyDescent="0.15">
      <c r="A212" s="70">
        <v>194</v>
      </c>
      <c r="B212" s="80">
        <f>D211*C9/12</f>
        <v>1967.5282860828522</v>
      </c>
      <c r="C212" s="76">
        <f>C12-B212</f>
        <v>7815.471713917148</v>
      </c>
      <c r="D212" s="76">
        <f t="shared" si="0"/>
        <v>718656.51083975146</v>
      </c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</row>
    <row r="213" spans="1:25" ht="14.25" customHeight="1" x14ac:dyDescent="0.15">
      <c r="A213" s="70">
        <v>195</v>
      </c>
      <c r="B213" s="80">
        <f>D212*C9/12</f>
        <v>1946.3613835243268</v>
      </c>
      <c r="C213" s="76">
        <f>C12-B213</f>
        <v>7836.6386164756732</v>
      </c>
      <c r="D213" s="76">
        <f t="shared" si="0"/>
        <v>710819.87222327583</v>
      </c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</row>
    <row r="214" spans="1:25" ht="14.25" customHeight="1" x14ac:dyDescent="0.15">
      <c r="A214" s="70">
        <v>196</v>
      </c>
      <c r="B214" s="80">
        <f>D213*C9/12</f>
        <v>1925.1371539380389</v>
      </c>
      <c r="C214" s="76">
        <f>C12-B214</f>
        <v>7857.8628460619611</v>
      </c>
      <c r="D214" s="76">
        <f t="shared" si="0"/>
        <v>702962.00937721389</v>
      </c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</row>
    <row r="215" spans="1:25" ht="14.25" customHeight="1" x14ac:dyDescent="0.15">
      <c r="A215" s="70">
        <v>197</v>
      </c>
      <c r="B215" s="80">
        <f>D214*C9/12</f>
        <v>1903.8554420632879</v>
      </c>
      <c r="C215" s="76">
        <f>C12-B215</f>
        <v>7879.1445579367119</v>
      </c>
      <c r="D215" s="76">
        <f t="shared" si="0"/>
        <v>695082.86481927719</v>
      </c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</row>
    <row r="216" spans="1:25" ht="14.25" customHeight="1" x14ac:dyDescent="0.15">
      <c r="A216" s="70">
        <v>198</v>
      </c>
      <c r="B216" s="80">
        <f>D215*C9/12</f>
        <v>1882.5160922188759</v>
      </c>
      <c r="C216" s="76">
        <f>C12-B216</f>
        <v>7900.4839077811239</v>
      </c>
      <c r="D216" s="76">
        <f t="shared" si="0"/>
        <v>687182.38091149612</v>
      </c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</row>
    <row r="217" spans="1:25" ht="14.25" customHeight="1" x14ac:dyDescent="0.15">
      <c r="A217" s="70">
        <v>199</v>
      </c>
      <c r="B217" s="80">
        <f>D216*C9/12</f>
        <v>1861.1189483019687</v>
      </c>
      <c r="C217" s="76">
        <f>C12-B217</f>
        <v>7921.8810516980311</v>
      </c>
      <c r="D217" s="76">
        <f t="shared" si="0"/>
        <v>679260.49985979812</v>
      </c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</row>
    <row r="218" spans="1:25" ht="14.25" customHeight="1" x14ac:dyDescent="0.15">
      <c r="A218" s="70">
        <v>200</v>
      </c>
      <c r="B218" s="80">
        <f>D217*C9/12</f>
        <v>1839.6638537869533</v>
      </c>
      <c r="C218" s="76">
        <f>C12-B218</f>
        <v>7943.336146213047</v>
      </c>
      <c r="D218" s="76">
        <f t="shared" si="0"/>
        <v>671317.16371358512</v>
      </c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</row>
    <row r="219" spans="1:25" ht="14.25" customHeight="1" x14ac:dyDescent="0.15">
      <c r="A219" s="70">
        <v>201</v>
      </c>
      <c r="B219" s="80">
        <f>D218*C9/12</f>
        <v>1818.1506517242931</v>
      </c>
      <c r="C219" s="76">
        <f>C12-B219</f>
        <v>7964.8493482757067</v>
      </c>
      <c r="D219" s="76">
        <f t="shared" si="0"/>
        <v>663352.31436530943</v>
      </c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</row>
    <row r="220" spans="1:25" ht="14.25" customHeight="1" x14ac:dyDescent="0.15">
      <c r="A220" s="70">
        <v>202</v>
      </c>
      <c r="B220" s="80">
        <f>D219*C9/12</f>
        <v>1796.5791847393796</v>
      </c>
      <c r="C220" s="76">
        <f>C12-B220</f>
        <v>7986.4208152606207</v>
      </c>
      <c r="D220" s="76">
        <f t="shared" si="0"/>
        <v>655365.89355004882</v>
      </c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</row>
    <row r="221" spans="1:25" ht="14.25" customHeight="1" x14ac:dyDescent="0.15">
      <c r="A221" s="70">
        <v>203</v>
      </c>
      <c r="B221" s="80">
        <f>D220*C9/12</f>
        <v>1774.9492950313822</v>
      </c>
      <c r="C221" s="76">
        <f>C12-B221</f>
        <v>8008.0507049686175</v>
      </c>
      <c r="D221" s="76">
        <f t="shared" si="0"/>
        <v>647357.84284508019</v>
      </c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</row>
    <row r="222" spans="1:25" ht="14.25" customHeight="1" x14ac:dyDescent="0.15">
      <c r="A222" s="70">
        <v>204</v>
      </c>
      <c r="B222" s="80">
        <f>D221*C9/12</f>
        <v>1753.2608243720922</v>
      </c>
      <c r="C222" s="76">
        <f>C12-B222</f>
        <v>8029.7391756279076</v>
      </c>
      <c r="D222" s="76">
        <f t="shared" si="0"/>
        <v>639328.10366945225</v>
      </c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</row>
    <row r="223" spans="1:25" ht="14.25" customHeight="1" x14ac:dyDescent="0.15">
      <c r="A223" s="70">
        <v>205</v>
      </c>
      <c r="B223" s="80">
        <f>D222*C9/12</f>
        <v>1731.5136141047667</v>
      </c>
      <c r="C223" s="76">
        <f>C12-B223</f>
        <v>8051.4863858952331</v>
      </c>
      <c r="D223" s="76">
        <f t="shared" si="0"/>
        <v>631276.61728355696</v>
      </c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</row>
    <row r="224" spans="1:25" ht="14.25" customHeight="1" x14ac:dyDescent="0.15">
      <c r="A224" s="70">
        <v>206</v>
      </c>
      <c r="B224" s="80">
        <f>D223*C9/12</f>
        <v>1709.7075051429667</v>
      </c>
      <c r="C224" s="76">
        <f>C12-B224</f>
        <v>8073.2924948570335</v>
      </c>
      <c r="D224" s="76">
        <f t="shared" si="0"/>
        <v>623203.32478869997</v>
      </c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</row>
    <row r="225" spans="1:25" ht="14.25" customHeight="1" x14ac:dyDescent="0.15">
      <c r="A225" s="70">
        <v>207</v>
      </c>
      <c r="B225" s="80">
        <f>D224*C9/12</f>
        <v>1687.8423379693959</v>
      </c>
      <c r="C225" s="76">
        <f>C12-B225</f>
        <v>8095.1576620306041</v>
      </c>
      <c r="D225" s="76">
        <f t="shared" si="0"/>
        <v>615108.16712666932</v>
      </c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</row>
    <row r="226" spans="1:25" ht="14.25" customHeight="1" x14ac:dyDescent="0.15">
      <c r="A226" s="70">
        <v>208</v>
      </c>
      <c r="B226" s="80">
        <f>D225*C9/12</f>
        <v>1665.9179526347295</v>
      </c>
      <c r="C226" s="76">
        <f>C12-B226</f>
        <v>8117.0820473652702</v>
      </c>
      <c r="D226" s="76">
        <f t="shared" si="0"/>
        <v>606991.08507930406</v>
      </c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</row>
    <row r="227" spans="1:25" ht="14.25" customHeight="1" x14ac:dyDescent="0.15">
      <c r="A227" s="70">
        <v>209</v>
      </c>
      <c r="B227" s="80">
        <f>D226*C9/12</f>
        <v>1643.9341887564485</v>
      </c>
      <c r="C227" s="76">
        <f>C12-B227</f>
        <v>8139.0658112435513</v>
      </c>
      <c r="D227" s="76">
        <f t="shared" si="0"/>
        <v>598852.01926806045</v>
      </c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</row>
    <row r="228" spans="1:25" ht="14.25" customHeight="1" x14ac:dyDescent="0.15">
      <c r="A228" s="70">
        <v>210</v>
      </c>
      <c r="B228" s="80">
        <f>D227*C9/12</f>
        <v>1621.8908855176639</v>
      </c>
      <c r="C228" s="76">
        <f>C12-B228</f>
        <v>8161.1091144823358</v>
      </c>
      <c r="D228" s="76">
        <f t="shared" si="0"/>
        <v>590690.91015357815</v>
      </c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</row>
    <row r="229" spans="1:25" ht="14.25" customHeight="1" x14ac:dyDescent="0.15">
      <c r="A229" s="70">
        <v>211</v>
      </c>
      <c r="B229" s="80">
        <f>D228*C9/12</f>
        <v>1599.7878816659411</v>
      </c>
      <c r="C229" s="76">
        <f>C12-B229</f>
        <v>8183.2121183340587</v>
      </c>
      <c r="D229" s="76">
        <f t="shared" si="0"/>
        <v>582507.69803524413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</row>
    <row r="230" spans="1:25" ht="14.25" customHeight="1" x14ac:dyDescent="0.15">
      <c r="A230" s="70">
        <v>212</v>
      </c>
      <c r="B230" s="80">
        <f>D229*C9/12</f>
        <v>1577.6250155121197</v>
      </c>
      <c r="C230" s="76">
        <f>C12-B230</f>
        <v>8205.3749844878803</v>
      </c>
      <c r="D230" s="76">
        <f t="shared" si="0"/>
        <v>574302.32305075624</v>
      </c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</row>
    <row r="231" spans="1:25" ht="14.25" customHeight="1" x14ac:dyDescent="0.15">
      <c r="A231" s="70">
        <v>213</v>
      </c>
      <c r="B231" s="80">
        <f>D230*C9/12</f>
        <v>1555.4021249291316</v>
      </c>
      <c r="C231" s="76">
        <f>C12-B231</f>
        <v>8227.5978750708691</v>
      </c>
      <c r="D231" s="76">
        <f t="shared" si="0"/>
        <v>566074.72517568537</v>
      </c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</row>
    <row r="232" spans="1:25" ht="14.25" customHeight="1" x14ac:dyDescent="0.15">
      <c r="A232" s="70">
        <v>214</v>
      </c>
      <c r="B232" s="80">
        <f>D231*C9/12</f>
        <v>1533.1190473508148</v>
      </c>
      <c r="C232" s="76">
        <f>C12-B232</f>
        <v>8249.8809526491859</v>
      </c>
      <c r="D232" s="76">
        <f t="shared" si="0"/>
        <v>557824.8442230362</v>
      </c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</row>
    <row r="233" spans="1:25" ht="14.25" customHeight="1" x14ac:dyDescent="0.15">
      <c r="A233" s="70">
        <v>215</v>
      </c>
      <c r="B233" s="80">
        <f>D232*C9/12</f>
        <v>1510.7756197707231</v>
      </c>
      <c r="C233" s="76">
        <f>C12-B233</f>
        <v>8272.224380229276</v>
      </c>
      <c r="D233" s="76">
        <f t="shared" si="0"/>
        <v>549552.61984280695</v>
      </c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</row>
    <row r="234" spans="1:25" ht="14.25" customHeight="1" x14ac:dyDescent="0.15">
      <c r="A234" s="70">
        <v>216</v>
      </c>
      <c r="B234" s="80">
        <f>D233*C9/12</f>
        <v>1488.3716787409355</v>
      </c>
      <c r="C234" s="76">
        <f>C12-B234</f>
        <v>8294.6283212590643</v>
      </c>
      <c r="D234" s="76">
        <f t="shared" si="0"/>
        <v>541257.9915215479</v>
      </c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</row>
    <row r="235" spans="1:25" ht="14.25" customHeight="1" x14ac:dyDescent="0.15">
      <c r="A235" s="70">
        <v>217</v>
      </c>
      <c r="B235" s="80">
        <f>D234*C9/12</f>
        <v>1465.907060370859</v>
      </c>
      <c r="C235" s="76">
        <f>C12-B235</f>
        <v>8317.0929396291413</v>
      </c>
      <c r="D235" s="76">
        <f t="shared" si="0"/>
        <v>532940.89858191879</v>
      </c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</row>
    <row r="236" spans="1:25" ht="14.25" customHeight="1" x14ac:dyDescent="0.15">
      <c r="A236" s="70">
        <v>218</v>
      </c>
      <c r="B236" s="80">
        <f>D235*C9/12</f>
        <v>1443.3816003260301</v>
      </c>
      <c r="C236" s="76">
        <f>C12-B236</f>
        <v>8339.6183996739692</v>
      </c>
      <c r="D236" s="76">
        <f t="shared" si="0"/>
        <v>524601.28018224484</v>
      </c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</row>
    <row r="237" spans="1:25" ht="14.25" customHeight="1" x14ac:dyDescent="0.15">
      <c r="A237" s="70">
        <v>219</v>
      </c>
      <c r="B237" s="80">
        <f>D236*C9/12</f>
        <v>1420.7951338269131</v>
      </c>
      <c r="C237" s="76">
        <f>C12-B237</f>
        <v>8362.2048661730878</v>
      </c>
      <c r="D237" s="76">
        <f t="shared" si="0"/>
        <v>516239.07531607174</v>
      </c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</row>
    <row r="238" spans="1:25" ht="14.25" customHeight="1" x14ac:dyDescent="0.15">
      <c r="A238" s="70">
        <v>220</v>
      </c>
      <c r="B238" s="80">
        <f>D237*C9/12</f>
        <v>1398.1474956476943</v>
      </c>
      <c r="C238" s="76">
        <f>C12-B238</f>
        <v>8384.8525043523059</v>
      </c>
      <c r="D238" s="76">
        <f t="shared" si="0"/>
        <v>507854.22281171946</v>
      </c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</row>
    <row r="239" spans="1:25" ht="14.25" customHeight="1" x14ac:dyDescent="0.15">
      <c r="A239" s="70">
        <v>221</v>
      </c>
      <c r="B239" s="80">
        <f>D238*C9/12</f>
        <v>1375.4385201150735</v>
      </c>
      <c r="C239" s="76">
        <f>C12-B239</f>
        <v>8407.5614798849274</v>
      </c>
      <c r="D239" s="76">
        <f t="shared" si="0"/>
        <v>499446.6613318345</v>
      </c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</row>
    <row r="240" spans="1:25" ht="14.25" customHeight="1" x14ac:dyDescent="0.15">
      <c r="A240" s="70">
        <v>222</v>
      </c>
      <c r="B240" s="80">
        <f>D239*C9/12</f>
        <v>1352.6680411070517</v>
      </c>
      <c r="C240" s="76">
        <f>C12-B240</f>
        <v>8430.331958892948</v>
      </c>
      <c r="D240" s="76">
        <f t="shared" si="0"/>
        <v>491016.32937294157</v>
      </c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</row>
    <row r="241" spans="1:25" ht="14.25" customHeight="1" x14ac:dyDescent="0.15">
      <c r="A241" s="70">
        <v>223</v>
      </c>
      <c r="B241" s="80">
        <f>D240*C9/12</f>
        <v>1329.8358920517169</v>
      </c>
      <c r="C241" s="76">
        <f>C12-B241</f>
        <v>8453.1641079482833</v>
      </c>
      <c r="D241" s="76">
        <f t="shared" si="0"/>
        <v>482563.16526499327</v>
      </c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</row>
    <row r="242" spans="1:25" ht="14.25" customHeight="1" x14ac:dyDescent="0.15">
      <c r="A242" s="70">
        <v>224</v>
      </c>
      <c r="B242" s="80">
        <f>D241*C9/12</f>
        <v>1306.9419059260235</v>
      </c>
      <c r="C242" s="76">
        <f>C12-B242</f>
        <v>8476.0580940739765</v>
      </c>
      <c r="D242" s="76">
        <f t="shared" si="0"/>
        <v>474087.10717091931</v>
      </c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</row>
    <row r="243" spans="1:25" ht="14.25" customHeight="1" x14ac:dyDescent="0.15">
      <c r="A243" s="70">
        <v>225</v>
      </c>
      <c r="B243" s="80">
        <f>D242*C9/12</f>
        <v>1283.9859152545732</v>
      </c>
      <c r="C243" s="76">
        <f>C12-B243</f>
        <v>8499.0140847454277</v>
      </c>
      <c r="D243" s="76">
        <f t="shared" si="0"/>
        <v>465588.09308617387</v>
      </c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</row>
    <row r="244" spans="1:25" ht="14.25" customHeight="1" x14ac:dyDescent="0.15">
      <c r="A244" s="70">
        <v>226</v>
      </c>
      <c r="B244" s="80">
        <f>D243*C9/12</f>
        <v>1260.9677521083877</v>
      </c>
      <c r="C244" s="76">
        <f>C12-B244</f>
        <v>8522.0322478916132</v>
      </c>
      <c r="D244" s="76">
        <f t="shared" si="0"/>
        <v>457066.06083828228</v>
      </c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</row>
    <row r="245" spans="1:25" ht="14.25" customHeight="1" x14ac:dyDescent="0.15">
      <c r="A245" s="70">
        <v>227</v>
      </c>
      <c r="B245" s="80">
        <f>D244*C9/12</f>
        <v>1237.8872481036813</v>
      </c>
      <c r="C245" s="76">
        <f>C12-B245</f>
        <v>8545.1127518963185</v>
      </c>
      <c r="D245" s="76">
        <f t="shared" si="0"/>
        <v>448520.94808638596</v>
      </c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</row>
    <row r="246" spans="1:25" ht="14.25" customHeight="1" x14ac:dyDescent="0.15">
      <c r="A246" s="70">
        <v>228</v>
      </c>
      <c r="B246" s="80">
        <f>D245*C9/12</f>
        <v>1214.7442344006288</v>
      </c>
      <c r="C246" s="76">
        <f>C12-B246</f>
        <v>8568.2557655993714</v>
      </c>
      <c r="D246" s="76">
        <f t="shared" si="0"/>
        <v>439952.69232078659</v>
      </c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</row>
    <row r="247" spans="1:25" ht="14.25" customHeight="1" x14ac:dyDescent="0.15">
      <c r="A247" s="70">
        <v>229</v>
      </c>
      <c r="B247" s="80">
        <f>D246*C9/12</f>
        <v>1191.5385417021305</v>
      </c>
      <c r="C247" s="76">
        <f>C12-B247</f>
        <v>8591.4614582978702</v>
      </c>
      <c r="D247" s="76">
        <f t="shared" si="0"/>
        <v>431361.23086248874</v>
      </c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</row>
    <row r="248" spans="1:25" ht="14.25" customHeight="1" x14ac:dyDescent="0.15">
      <c r="A248" s="70">
        <v>230</v>
      </c>
      <c r="B248" s="80">
        <f>D247*C9/12</f>
        <v>1168.2700002525737</v>
      </c>
      <c r="C248" s="76">
        <f>C12-B248</f>
        <v>8614.7299997474256</v>
      </c>
      <c r="D248" s="76">
        <f t="shared" si="0"/>
        <v>422746.50086274132</v>
      </c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</row>
    <row r="249" spans="1:25" ht="14.25" customHeight="1" x14ac:dyDescent="0.15">
      <c r="A249" s="70">
        <v>231</v>
      </c>
      <c r="B249" s="80">
        <f>D248*C9/12</f>
        <v>1144.9384398365912</v>
      </c>
      <c r="C249" s="76">
        <f>C12-B249</f>
        <v>8638.061560163409</v>
      </c>
      <c r="D249" s="76">
        <f t="shared" si="0"/>
        <v>414108.43930257793</v>
      </c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</row>
    <row r="250" spans="1:25" ht="14.25" customHeight="1" x14ac:dyDescent="0.15">
      <c r="A250" s="70">
        <v>232</v>
      </c>
      <c r="B250" s="80">
        <f>D249*C9/12</f>
        <v>1121.5436897778152</v>
      </c>
      <c r="C250" s="76">
        <f>C12-B250</f>
        <v>8661.4563102221855</v>
      </c>
      <c r="D250" s="76">
        <f t="shared" si="0"/>
        <v>405446.98299235577</v>
      </c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</row>
    <row r="251" spans="1:25" ht="14.25" customHeight="1" x14ac:dyDescent="0.15">
      <c r="A251" s="70">
        <v>233</v>
      </c>
      <c r="B251" s="80">
        <f>D250*C9/12</f>
        <v>1098.0855789376303</v>
      </c>
      <c r="C251" s="76">
        <f>C12-B251</f>
        <v>8684.914421062369</v>
      </c>
      <c r="D251" s="76">
        <f t="shared" si="0"/>
        <v>396762.06857129338</v>
      </c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</row>
    <row r="252" spans="1:25" ht="14.25" customHeight="1" x14ac:dyDescent="0.15">
      <c r="A252" s="70">
        <v>234</v>
      </c>
      <c r="B252" s="80">
        <f>D251*C9/12</f>
        <v>1074.5639357139196</v>
      </c>
      <c r="C252" s="76">
        <f>C12-B252</f>
        <v>8708.4360642860811</v>
      </c>
      <c r="D252" s="76">
        <f t="shared" si="0"/>
        <v>388053.63250700728</v>
      </c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</row>
    <row r="253" spans="1:25" ht="14.25" customHeight="1" x14ac:dyDescent="0.15">
      <c r="A253" s="70">
        <v>235</v>
      </c>
      <c r="B253" s="80">
        <f>D252*C9/12</f>
        <v>1050.9785880398115</v>
      </c>
      <c r="C253" s="76">
        <f>C12-B253</f>
        <v>8732.0214119601878</v>
      </c>
      <c r="D253" s="76">
        <f t="shared" si="0"/>
        <v>379321.61109504709</v>
      </c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</row>
    <row r="254" spans="1:25" ht="14.25" customHeight="1" x14ac:dyDescent="0.15">
      <c r="A254" s="70">
        <v>236</v>
      </c>
      <c r="B254" s="80">
        <f>D253*C9/12</f>
        <v>1027.3293633824194</v>
      </c>
      <c r="C254" s="76">
        <f>C12-B254</f>
        <v>8755.6706366175804</v>
      </c>
      <c r="D254" s="76">
        <f t="shared" si="0"/>
        <v>370565.94045842951</v>
      </c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</row>
    <row r="255" spans="1:25" ht="14.25" customHeight="1" x14ac:dyDescent="0.15">
      <c r="A255" s="70">
        <v>237</v>
      </c>
      <c r="B255" s="80">
        <f>D254*C9/12</f>
        <v>1003.6160887415799</v>
      </c>
      <c r="C255" s="76">
        <f>C12-B255</f>
        <v>8779.383911258421</v>
      </c>
      <c r="D255" s="76">
        <f t="shared" si="0"/>
        <v>361786.55654717109</v>
      </c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</row>
    <row r="256" spans="1:25" ht="14.25" customHeight="1" x14ac:dyDescent="0.15">
      <c r="A256" s="70">
        <v>238</v>
      </c>
      <c r="B256" s="80">
        <f>D255*C9/12</f>
        <v>979.83859064858837</v>
      </c>
      <c r="C256" s="76">
        <f>C12-B256</f>
        <v>8803.1614093514108</v>
      </c>
      <c r="D256" s="76">
        <f t="shared" si="0"/>
        <v>352983.39513781969</v>
      </c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</row>
    <row r="257" spans="1:25" ht="14.25" customHeight="1" x14ac:dyDescent="0.15">
      <c r="A257" s="70">
        <v>239</v>
      </c>
      <c r="B257" s="80">
        <f>D256*C9/12</f>
        <v>955.99669516492838</v>
      </c>
      <c r="C257" s="76">
        <f>C12-B257</f>
        <v>8827.0033048350724</v>
      </c>
      <c r="D257" s="76">
        <f t="shared" si="0"/>
        <v>344156.39183298463</v>
      </c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</row>
    <row r="258" spans="1:25" ht="14.25" customHeight="1" x14ac:dyDescent="0.15">
      <c r="A258" s="70">
        <v>240</v>
      </c>
      <c r="B258" s="80">
        <f>D257*C9/12</f>
        <v>932.09022788100003</v>
      </c>
      <c r="C258" s="76">
        <f>C12-B258</f>
        <v>8850.9097721189992</v>
      </c>
      <c r="D258" s="76">
        <f t="shared" si="0"/>
        <v>335305.48206086562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</row>
    <row r="259" spans="1:25" ht="14.25" customHeight="1" x14ac:dyDescent="0.15">
      <c r="A259" s="70">
        <v>241</v>
      </c>
      <c r="B259" s="80">
        <f>D258*C9/12</f>
        <v>908.11901391484434</v>
      </c>
      <c r="C259" s="76">
        <f>C12-B259</f>
        <v>8874.8809860851561</v>
      </c>
      <c r="D259" s="76">
        <f t="shared" si="0"/>
        <v>326430.60107478045</v>
      </c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</row>
    <row r="260" spans="1:25" ht="14.25" customHeight="1" x14ac:dyDescent="0.15">
      <c r="A260" s="70">
        <v>242</v>
      </c>
      <c r="B260" s="80">
        <f>D259*C9/12</f>
        <v>884.08287791086377</v>
      </c>
      <c r="C260" s="76">
        <f>C12-B260</f>
        <v>8898.9171220891367</v>
      </c>
      <c r="D260" s="76">
        <f t="shared" si="0"/>
        <v>317531.68395269132</v>
      </c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</row>
    <row r="261" spans="1:25" ht="14.25" customHeight="1" x14ac:dyDescent="0.15">
      <c r="A261" s="70">
        <v>243</v>
      </c>
      <c r="B261" s="80">
        <f>D260*C9/12</f>
        <v>859.981644038539</v>
      </c>
      <c r="C261" s="76">
        <f>C12-B261</f>
        <v>8923.0183559614616</v>
      </c>
      <c r="D261" s="76">
        <f t="shared" si="0"/>
        <v>308608.66559672984</v>
      </c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</row>
    <row r="262" spans="1:25" ht="14.25" customHeight="1" x14ac:dyDescent="0.15">
      <c r="A262" s="70">
        <v>244</v>
      </c>
      <c r="B262" s="80">
        <f>D261*C9/12</f>
        <v>835.81513599114339</v>
      </c>
      <c r="C262" s="76">
        <f>C12-B262</f>
        <v>8947.1848640088574</v>
      </c>
      <c r="D262" s="76">
        <f t="shared" si="0"/>
        <v>299661.48073272099</v>
      </c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</row>
    <row r="263" spans="1:25" ht="14.25" customHeight="1" x14ac:dyDescent="0.15">
      <c r="A263" s="70">
        <v>245</v>
      </c>
      <c r="B263" s="80">
        <f>D262*C9/12</f>
        <v>811.58317698445273</v>
      </c>
      <c r="C263" s="76">
        <f>C12-B263</f>
        <v>8971.4168230155465</v>
      </c>
      <c r="D263" s="76">
        <f t="shared" si="0"/>
        <v>290690.06390970544</v>
      </c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</row>
    <row r="264" spans="1:25" ht="14.25" customHeight="1" x14ac:dyDescent="0.15">
      <c r="A264" s="70">
        <v>246</v>
      </c>
      <c r="B264" s="80">
        <f>D263*C9/12</f>
        <v>787.28558975545229</v>
      </c>
      <c r="C264" s="76">
        <f>C12-B264</f>
        <v>8995.7144102445473</v>
      </c>
      <c r="D264" s="76">
        <f t="shared" si="0"/>
        <v>281694.34949946089</v>
      </c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</row>
    <row r="265" spans="1:25" ht="14.25" customHeight="1" x14ac:dyDescent="0.15">
      <c r="A265" s="70">
        <v>247</v>
      </c>
      <c r="B265" s="80">
        <f>D264*C9/12</f>
        <v>762.92219656103998</v>
      </c>
      <c r="C265" s="76">
        <f>C12-B265</f>
        <v>9020.0778034389605</v>
      </c>
      <c r="D265" s="76">
        <f t="shared" si="0"/>
        <v>272674.27169602195</v>
      </c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</row>
    <row r="266" spans="1:25" ht="14.25" customHeight="1" x14ac:dyDescent="0.15">
      <c r="A266" s="70">
        <v>248</v>
      </c>
      <c r="B266" s="80">
        <f>D265*C9/12</f>
        <v>738.49281917672613</v>
      </c>
      <c r="C266" s="76">
        <f>C12-B266</f>
        <v>9044.5071808232733</v>
      </c>
      <c r="D266" s="76">
        <f t="shared" si="0"/>
        <v>263629.76451519871</v>
      </c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</row>
    <row r="267" spans="1:25" ht="14.25" customHeight="1" x14ac:dyDescent="0.15">
      <c r="A267" s="70">
        <v>249</v>
      </c>
      <c r="B267" s="80">
        <f>D266*C9/12</f>
        <v>713.99727889532994</v>
      </c>
      <c r="C267" s="76">
        <f>C12-B267</f>
        <v>9069.0027211046709</v>
      </c>
      <c r="D267" s="76">
        <f t="shared" si="0"/>
        <v>254560.76179409403</v>
      </c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</row>
    <row r="268" spans="1:25" ht="14.25" customHeight="1" x14ac:dyDescent="0.15">
      <c r="A268" s="70">
        <v>250</v>
      </c>
      <c r="B268" s="80">
        <f>D267*C9/12</f>
        <v>689.43539652567131</v>
      </c>
      <c r="C268" s="76">
        <f>C12-B268</f>
        <v>9093.5646034743295</v>
      </c>
      <c r="D268" s="76">
        <f t="shared" si="0"/>
        <v>245467.19719061968</v>
      </c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</row>
    <row r="269" spans="1:25" ht="14.25" customHeight="1" x14ac:dyDescent="0.15">
      <c r="A269" s="70">
        <v>251</v>
      </c>
      <c r="B269" s="80">
        <f>D268*C9/12</f>
        <v>664.8069923912617</v>
      </c>
      <c r="C269" s="76">
        <f>C12-B269</f>
        <v>9118.1930076087374</v>
      </c>
      <c r="D269" s="76">
        <f t="shared" si="0"/>
        <v>236349.00418301095</v>
      </c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</row>
    <row r="270" spans="1:25" ht="14.25" customHeight="1" x14ac:dyDescent="0.15">
      <c r="A270" s="70">
        <v>252</v>
      </c>
      <c r="B270" s="80">
        <f>D269*C9/12</f>
        <v>640.11188632898802</v>
      </c>
      <c r="C270" s="76">
        <f>C12-B270</f>
        <v>9142.8881136710115</v>
      </c>
      <c r="D270" s="76">
        <f t="shared" si="0"/>
        <v>227206.11606933994</v>
      </c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</row>
    <row r="271" spans="1:25" ht="14.25" customHeight="1" x14ac:dyDescent="0.15">
      <c r="A271" s="70">
        <v>253</v>
      </c>
      <c r="B271" s="80">
        <f>D270*C9/12</f>
        <v>615.34989768779576</v>
      </c>
      <c r="C271" s="76">
        <f>C12-B271</f>
        <v>9167.6501023122037</v>
      </c>
      <c r="D271" s="76">
        <f t="shared" si="0"/>
        <v>218038.46596702773</v>
      </c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</row>
    <row r="272" spans="1:25" ht="14.25" customHeight="1" x14ac:dyDescent="0.15">
      <c r="A272" s="70">
        <v>254</v>
      </c>
      <c r="B272" s="80">
        <f>D271*C9/12</f>
        <v>590.52084532736683</v>
      </c>
      <c r="C272" s="76">
        <f>C12-B272</f>
        <v>9192.4791546726337</v>
      </c>
      <c r="D272" s="76">
        <f t="shared" si="0"/>
        <v>208845.98681235511</v>
      </c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</row>
    <row r="273" spans="1:25" ht="14.25" customHeight="1" x14ac:dyDescent="0.15">
      <c r="A273" s="70">
        <v>255</v>
      </c>
      <c r="B273" s="80">
        <f>D272*C9/12</f>
        <v>565.6245476167951</v>
      </c>
      <c r="C273" s="76">
        <f>C12-B273</f>
        <v>9217.3754523832049</v>
      </c>
      <c r="D273" s="76">
        <f t="shared" si="0"/>
        <v>199628.6113599719</v>
      </c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</row>
    <row r="274" spans="1:25" ht="14.25" customHeight="1" x14ac:dyDescent="0.15">
      <c r="A274" s="70">
        <v>256</v>
      </c>
      <c r="B274" s="80">
        <f>D273*C9/12</f>
        <v>540.66082243325729</v>
      </c>
      <c r="C274" s="76">
        <f>C12-B274</f>
        <v>9242.3391775667424</v>
      </c>
      <c r="D274" s="76">
        <f t="shared" si="0"/>
        <v>190386.27218240514</v>
      </c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</row>
    <row r="275" spans="1:25" ht="14.25" customHeight="1" x14ac:dyDescent="0.15">
      <c r="A275" s="70">
        <v>257</v>
      </c>
      <c r="B275" s="80">
        <f>D274*C9/12</f>
        <v>515.62948716068058</v>
      </c>
      <c r="C275" s="76">
        <f>C12-B275</f>
        <v>9267.3705128393194</v>
      </c>
      <c r="D275" s="76">
        <f t="shared" ref="D275:D378" si="1">D274-C275</f>
        <v>181118.90166956582</v>
      </c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</row>
    <row r="276" spans="1:25" ht="14.25" customHeight="1" x14ac:dyDescent="0.15">
      <c r="A276" s="70">
        <v>258</v>
      </c>
      <c r="B276" s="80">
        <f>D275*C9/12</f>
        <v>490.53035868840743</v>
      </c>
      <c r="C276" s="76">
        <f>C12-B276</f>
        <v>9292.4696413115926</v>
      </c>
      <c r="D276" s="76">
        <f t="shared" si="1"/>
        <v>171826.43202825423</v>
      </c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</row>
    <row r="277" spans="1:25" ht="14.25" customHeight="1" x14ac:dyDescent="0.15">
      <c r="A277" s="70">
        <v>259</v>
      </c>
      <c r="B277" s="80">
        <f>D276*C9/12</f>
        <v>465.36325340985519</v>
      </c>
      <c r="C277" s="76">
        <f>C12-B277</f>
        <v>9317.636746590144</v>
      </c>
      <c r="D277" s="76">
        <f t="shared" si="1"/>
        <v>162508.79528166409</v>
      </c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</row>
    <row r="278" spans="1:25" ht="14.25" customHeight="1" x14ac:dyDescent="0.15">
      <c r="A278" s="70">
        <v>260</v>
      </c>
      <c r="B278" s="80">
        <f>D277*C9/12</f>
        <v>440.12798722117356</v>
      </c>
      <c r="C278" s="76">
        <f>C12-B278</f>
        <v>9342.8720127788256</v>
      </c>
      <c r="D278" s="76">
        <f t="shared" si="1"/>
        <v>153165.92326888526</v>
      </c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</row>
    <row r="279" spans="1:25" ht="14.25" customHeight="1" x14ac:dyDescent="0.15">
      <c r="A279" s="70">
        <v>261</v>
      </c>
      <c r="B279" s="80">
        <f>D278*C9/12</f>
        <v>414.82437551989761</v>
      </c>
      <c r="C279" s="76">
        <f>C12-B279</f>
        <v>9368.1756244801018</v>
      </c>
      <c r="D279" s="76">
        <f t="shared" si="1"/>
        <v>143797.74764440517</v>
      </c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</row>
    <row r="280" spans="1:25" ht="14.25" customHeight="1" x14ac:dyDescent="0.15">
      <c r="A280" s="70">
        <v>262</v>
      </c>
      <c r="B280" s="80">
        <f>D279*C9/12</f>
        <v>389.45223320359736</v>
      </c>
      <c r="C280" s="76">
        <f>C12-B280</f>
        <v>9393.5477667964024</v>
      </c>
      <c r="D280" s="76">
        <f t="shared" si="1"/>
        <v>134404.19987760877</v>
      </c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</row>
    <row r="281" spans="1:25" ht="14.25" customHeight="1" x14ac:dyDescent="0.15">
      <c r="A281" s="70">
        <v>263</v>
      </c>
      <c r="B281" s="80">
        <f>D280*C9/12</f>
        <v>364.01137466852379</v>
      </c>
      <c r="C281" s="76">
        <f>C12-B281</f>
        <v>9418.9886253314762</v>
      </c>
      <c r="D281" s="76">
        <f t="shared" si="1"/>
        <v>124985.21125227729</v>
      </c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</row>
    <row r="282" spans="1:25" ht="14.25" customHeight="1" x14ac:dyDescent="0.15">
      <c r="A282" s="70">
        <v>264</v>
      </c>
      <c r="B282" s="80">
        <f>D281*C9/12</f>
        <v>338.50161380825102</v>
      </c>
      <c r="C282" s="76">
        <f>C12-B282</f>
        <v>9444.4983861917499</v>
      </c>
      <c r="D282" s="76">
        <f t="shared" si="1"/>
        <v>115540.71286608555</v>
      </c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</row>
    <row r="283" spans="1:25" ht="14.25" customHeight="1" x14ac:dyDescent="0.15">
      <c r="A283" s="70">
        <v>265</v>
      </c>
      <c r="B283" s="80">
        <f>D282*C9/12</f>
        <v>312.92276401231504</v>
      </c>
      <c r="C283" s="76">
        <f>C12-B283</f>
        <v>9470.0772359876846</v>
      </c>
      <c r="D283" s="76">
        <f t="shared" si="1"/>
        <v>106070.63563009787</v>
      </c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</row>
    <row r="284" spans="1:25" ht="14.25" customHeight="1" x14ac:dyDescent="0.15">
      <c r="A284" s="70">
        <v>266</v>
      </c>
      <c r="B284" s="80">
        <f>D283*C9/12</f>
        <v>287.2746381648484</v>
      </c>
      <c r="C284" s="76">
        <f>C12-B284</f>
        <v>9495.7253618351515</v>
      </c>
      <c r="D284" s="76">
        <f t="shared" si="1"/>
        <v>96574.910268262713</v>
      </c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</row>
    <row r="285" spans="1:25" ht="14.25" customHeight="1" x14ac:dyDescent="0.15">
      <c r="A285" s="70">
        <v>267</v>
      </c>
      <c r="B285" s="80">
        <f>D284*C9/12</f>
        <v>261.55704864321154</v>
      </c>
      <c r="C285" s="76">
        <f>C12-B285</f>
        <v>9521.4429513567884</v>
      </c>
      <c r="D285" s="76">
        <f t="shared" si="1"/>
        <v>87053.467316905924</v>
      </c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</row>
    <row r="286" spans="1:25" ht="14.25" customHeight="1" x14ac:dyDescent="0.15">
      <c r="A286" s="70">
        <v>268</v>
      </c>
      <c r="B286" s="80">
        <f>D285*C9/12</f>
        <v>235.76980731662022</v>
      </c>
      <c r="C286" s="76">
        <f>C12-B286</f>
        <v>9547.2301926833807</v>
      </c>
      <c r="D286" s="76">
        <f t="shared" si="1"/>
        <v>77506.237124222549</v>
      </c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</row>
    <row r="287" spans="1:25" ht="14.25" customHeight="1" x14ac:dyDescent="0.15">
      <c r="A287" s="70">
        <v>269</v>
      </c>
      <c r="B287" s="80">
        <f>D286*C9/12</f>
        <v>209.91272554476942</v>
      </c>
      <c r="C287" s="76">
        <f>C12-B287</f>
        <v>9573.0872744552307</v>
      </c>
      <c r="D287" s="76">
        <f t="shared" si="1"/>
        <v>67933.149849767316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</row>
    <row r="288" spans="1:25" ht="14.25" customHeight="1" x14ac:dyDescent="0.15">
      <c r="A288" s="70">
        <v>270</v>
      </c>
      <c r="B288" s="80">
        <f>D287*C9/12</f>
        <v>183.98561417645317</v>
      </c>
      <c r="C288" s="76">
        <f>C12-B288</f>
        <v>9599.014385823546</v>
      </c>
      <c r="D288" s="76">
        <f t="shared" si="1"/>
        <v>58334.13546394377</v>
      </c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</row>
    <row r="289" spans="1:25" ht="14.25" customHeight="1" x14ac:dyDescent="0.15">
      <c r="A289" s="70">
        <v>271</v>
      </c>
      <c r="B289" s="80">
        <f>D288*C9/12</f>
        <v>157.98828354818104</v>
      </c>
      <c r="C289" s="76">
        <f>C12-B289</f>
        <v>9625.0117164518197</v>
      </c>
      <c r="D289" s="76">
        <f t="shared" si="1"/>
        <v>48709.123747491947</v>
      </c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</row>
    <row r="290" spans="1:25" ht="14.25" customHeight="1" x14ac:dyDescent="0.15">
      <c r="A290" s="70">
        <v>272</v>
      </c>
      <c r="B290" s="80">
        <f>D289*C9/12</f>
        <v>131.92054348279069</v>
      </c>
      <c r="C290" s="76">
        <f>C12-B290</f>
        <v>9651.0794565172091</v>
      </c>
      <c r="D290" s="76">
        <f t="shared" si="1"/>
        <v>39058.044290974736</v>
      </c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</row>
    <row r="291" spans="1:25" ht="14.25" customHeight="1" x14ac:dyDescent="0.15">
      <c r="A291" s="70">
        <v>273</v>
      </c>
      <c r="B291" s="80">
        <f>D290*C9/12</f>
        <v>105.78220328805658</v>
      </c>
      <c r="C291" s="76">
        <f>C12-B291</f>
        <v>9677.2177967119442</v>
      </c>
      <c r="D291" s="76">
        <f t="shared" si="1"/>
        <v>29380.826494262794</v>
      </c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</row>
    <row r="292" spans="1:25" ht="14.25" customHeight="1" x14ac:dyDescent="0.15">
      <c r="A292" s="70">
        <v>274</v>
      </c>
      <c r="B292" s="80">
        <f>D291*C9/12</f>
        <v>79.573071755295061</v>
      </c>
      <c r="C292" s="76">
        <f>C12-B292</f>
        <v>9703.4269282447058</v>
      </c>
      <c r="D292" s="76">
        <f t="shared" si="1"/>
        <v>19677.399566018088</v>
      </c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</row>
    <row r="293" spans="1:25" ht="14.25" customHeight="1" x14ac:dyDescent="0.15">
      <c r="A293" s="70">
        <v>275</v>
      </c>
      <c r="B293" s="80">
        <f>D292*C9/12</f>
        <v>53.292957157965652</v>
      </c>
      <c r="C293" s="76">
        <f>C12-B293</f>
        <v>9729.7070428420338</v>
      </c>
      <c r="D293" s="76">
        <f t="shared" si="1"/>
        <v>9947.6925231760542</v>
      </c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</row>
    <row r="294" spans="1:25" ht="14.25" customHeight="1" x14ac:dyDescent="0.15">
      <c r="A294" s="70">
        <v>276</v>
      </c>
      <c r="B294" s="80">
        <f>D293*C9/12</f>
        <v>26.94166725026848</v>
      </c>
      <c r="C294" s="76">
        <f>C12-B294</f>
        <v>9756.0583327497316</v>
      </c>
      <c r="D294" s="76">
        <f t="shared" si="1"/>
        <v>191.63419042632268</v>
      </c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</row>
    <row r="295" spans="1:25" ht="14.25" customHeight="1" x14ac:dyDescent="0.15">
      <c r="A295" s="70">
        <v>277</v>
      </c>
      <c r="B295" s="80">
        <f>D294*C9/12</f>
        <v>0.51900926573795725</v>
      </c>
      <c r="C295" s="76">
        <f>C12-B295</f>
        <v>9782.4809907342624</v>
      </c>
      <c r="D295" s="76">
        <f t="shared" si="1"/>
        <v>-9590.8468003079397</v>
      </c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</row>
    <row r="296" spans="1:25" ht="14.25" customHeight="1" x14ac:dyDescent="0.15">
      <c r="A296" s="70">
        <v>278</v>
      </c>
      <c r="B296" s="80">
        <f>D295*C9/12</f>
        <v>-25.97521008416734</v>
      </c>
      <c r="C296" s="76">
        <f>C12-B296</f>
        <v>9808.975210084167</v>
      </c>
      <c r="D296" s="76">
        <f t="shared" si="1"/>
        <v>-19399.822010392105</v>
      </c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</row>
    <row r="297" spans="1:25" ht="14.25" customHeight="1" x14ac:dyDescent="0.15">
      <c r="A297" s="70">
        <v>279</v>
      </c>
      <c r="B297" s="80">
        <f>D296*C9/12</f>
        <v>-52.54118461147862</v>
      </c>
      <c r="C297" s="76">
        <f>C12-B297</f>
        <v>9835.5411846114785</v>
      </c>
      <c r="D297" s="76">
        <f t="shared" si="1"/>
        <v>-29235.363195003585</v>
      </c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</row>
    <row r="298" spans="1:25" ht="14.25" customHeight="1" x14ac:dyDescent="0.15">
      <c r="A298" s="70">
        <v>280</v>
      </c>
      <c r="B298" s="80">
        <f>D297*C9/12</f>
        <v>-79.179108653134719</v>
      </c>
      <c r="C298" s="76">
        <f>C12-B298</f>
        <v>9862.1791086531339</v>
      </c>
      <c r="D298" s="76">
        <f t="shared" si="1"/>
        <v>-39097.542303656723</v>
      </c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</row>
    <row r="299" spans="1:25" ht="14.25" customHeight="1" x14ac:dyDescent="0.15">
      <c r="A299" s="70">
        <v>281</v>
      </c>
      <c r="B299" s="80">
        <f>D298*C9/12</f>
        <v>-105.88917707240363</v>
      </c>
      <c r="C299" s="76">
        <f>C12-B299</f>
        <v>9888.889177072404</v>
      </c>
      <c r="D299" s="76">
        <f t="shared" si="1"/>
        <v>-48986.431480729123</v>
      </c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</row>
    <row r="300" spans="1:25" ht="14.25" customHeight="1" x14ac:dyDescent="0.15">
      <c r="A300" s="70">
        <v>282</v>
      </c>
      <c r="B300" s="80">
        <f>D299*C9/12</f>
        <v>-132.67158526030804</v>
      </c>
      <c r="C300" s="76">
        <f>C12-B300</f>
        <v>9915.6715852603083</v>
      </c>
      <c r="D300" s="76">
        <f t="shared" si="1"/>
        <v>-58902.103065989431</v>
      </c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</row>
    <row r="301" spans="1:25" ht="14.25" customHeight="1" x14ac:dyDescent="0.15">
      <c r="A301" s="70">
        <v>283</v>
      </c>
      <c r="B301" s="80">
        <f>D300*C9/12</f>
        <v>-159.52652913705472</v>
      </c>
      <c r="C301" s="76">
        <f>C12-B301</f>
        <v>9942.5265291370542</v>
      </c>
      <c r="D301" s="76">
        <f t="shared" si="1"/>
        <v>-68844.629595126491</v>
      </c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</row>
    <row r="302" spans="1:25" ht="14.25" customHeight="1" x14ac:dyDescent="0.15">
      <c r="A302" s="70">
        <v>284</v>
      </c>
      <c r="B302" s="80">
        <f>D301*C9/12</f>
        <v>-186.45420515346757</v>
      </c>
      <c r="C302" s="76">
        <f>C12-B302</f>
        <v>9969.4542051534681</v>
      </c>
      <c r="D302" s="76">
        <f t="shared" si="1"/>
        <v>-78814.083800279957</v>
      </c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</row>
    <row r="303" spans="1:25" ht="14.25" customHeight="1" x14ac:dyDescent="0.15">
      <c r="A303" s="70">
        <v>285</v>
      </c>
      <c r="B303" s="80">
        <f>D302*C9/12</f>
        <v>-213.4548102924249</v>
      </c>
      <c r="C303" s="76">
        <f>C12-B303</f>
        <v>9996.4548102924255</v>
      </c>
      <c r="D303" s="76">
        <f t="shared" si="1"/>
        <v>-88810.538610572388</v>
      </c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</row>
    <row r="304" spans="1:25" ht="14.25" customHeight="1" x14ac:dyDescent="0.15">
      <c r="A304" s="70">
        <v>286</v>
      </c>
      <c r="B304" s="80">
        <f>D303*C9/12</f>
        <v>-240.52854207030023</v>
      </c>
      <c r="C304" s="76">
        <f>C12-B304</f>
        <v>10023.5285420703</v>
      </c>
      <c r="D304" s="76">
        <f t="shared" si="1"/>
        <v>-98834.067152642689</v>
      </c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</row>
    <row r="305" spans="1:25" ht="14.25" customHeight="1" x14ac:dyDescent="0.15">
      <c r="A305" s="70">
        <v>287</v>
      </c>
      <c r="B305" s="80">
        <f>D304*C9/12</f>
        <v>-267.67559853840731</v>
      </c>
      <c r="C305" s="76">
        <f>C12-B305</f>
        <v>10050.675598538408</v>
      </c>
      <c r="D305" s="76">
        <f t="shared" si="1"/>
        <v>-108884.7427511811</v>
      </c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</row>
    <row r="306" spans="1:25" ht="14.25" customHeight="1" x14ac:dyDescent="0.15">
      <c r="A306" s="70">
        <v>288</v>
      </c>
      <c r="B306" s="80">
        <f>D305*C9/12</f>
        <v>-294.89617828444881</v>
      </c>
      <c r="C306" s="76">
        <f>C12-B306</f>
        <v>10077.896178284449</v>
      </c>
      <c r="D306" s="76">
        <f t="shared" si="1"/>
        <v>-118962.63892946555</v>
      </c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</row>
    <row r="307" spans="1:25" ht="14.25" customHeight="1" x14ac:dyDescent="0.15">
      <c r="A307" s="70">
        <v>289</v>
      </c>
      <c r="B307" s="80">
        <f>D306*C9/12</f>
        <v>-322.19048043396919</v>
      </c>
      <c r="C307" s="76">
        <f>C12-B307</f>
        <v>10105.190480433968</v>
      </c>
      <c r="D307" s="76">
        <f t="shared" si="1"/>
        <v>-129067.82940989952</v>
      </c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</row>
    <row r="308" spans="1:25" ht="14.25" customHeight="1" x14ac:dyDescent="0.15">
      <c r="A308" s="70">
        <v>290</v>
      </c>
      <c r="B308" s="80">
        <f>D307*C9/12</f>
        <v>-349.55870465181124</v>
      </c>
      <c r="C308" s="76">
        <f>C12-B308</f>
        <v>10132.558704651812</v>
      </c>
      <c r="D308" s="76">
        <f t="shared" si="1"/>
        <v>-139200.38811455134</v>
      </c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</row>
    <row r="309" spans="1:25" ht="14.25" customHeight="1" x14ac:dyDescent="0.15">
      <c r="A309" s="70">
        <v>291</v>
      </c>
      <c r="B309" s="80">
        <f>D308*C9/12</f>
        <v>-377.0010511435766</v>
      </c>
      <c r="C309" s="76">
        <f>C12-B309</f>
        <v>10160.001051143576</v>
      </c>
      <c r="D309" s="76">
        <f t="shared" si="1"/>
        <v>-149360.38916569491</v>
      </c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</row>
    <row r="310" spans="1:25" ht="14.25" customHeight="1" x14ac:dyDescent="0.15">
      <c r="A310" s="70">
        <v>292</v>
      </c>
      <c r="B310" s="80">
        <f>D309*C9/12</f>
        <v>-404.51772065709042</v>
      </c>
      <c r="C310" s="76">
        <f>C12-B310</f>
        <v>10187.51772065709</v>
      </c>
      <c r="D310" s="76">
        <f t="shared" si="1"/>
        <v>-159547.90688635199</v>
      </c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</row>
    <row r="311" spans="1:25" ht="14.25" customHeight="1" x14ac:dyDescent="0.15">
      <c r="A311" s="70">
        <v>293</v>
      </c>
      <c r="B311" s="80">
        <f>D310*C9/12</f>
        <v>-432.10891448386997</v>
      </c>
      <c r="C311" s="76">
        <f>C12-B311</f>
        <v>10215.10891448387</v>
      </c>
      <c r="D311" s="76">
        <f t="shared" si="1"/>
        <v>-169763.01580083586</v>
      </c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</row>
    <row r="312" spans="1:25" ht="14.25" customHeight="1" x14ac:dyDescent="0.15">
      <c r="A312" s="70">
        <v>294</v>
      </c>
      <c r="B312" s="80">
        <f>D311*C9/12</f>
        <v>-459.77483446059711</v>
      </c>
      <c r="C312" s="76">
        <f>C12-B312</f>
        <v>10242.774834460597</v>
      </c>
      <c r="D312" s="76">
        <f t="shared" si="1"/>
        <v>-180005.79063529646</v>
      </c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</row>
    <row r="313" spans="1:25" ht="14.25" customHeight="1" x14ac:dyDescent="0.15">
      <c r="A313" s="70">
        <v>295</v>
      </c>
      <c r="B313" s="80">
        <f>D312*C9/12</f>
        <v>-487.51568297059458</v>
      </c>
      <c r="C313" s="76">
        <f>C12-B313</f>
        <v>10270.515682970594</v>
      </c>
      <c r="D313" s="76">
        <f t="shared" si="1"/>
        <v>-190276.30631826704</v>
      </c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</row>
    <row r="314" spans="1:25" ht="14.25" customHeight="1" x14ac:dyDescent="0.15">
      <c r="A314" s="70">
        <v>296</v>
      </c>
      <c r="B314" s="80">
        <f>D313*C9/12</f>
        <v>-515.33166294530656</v>
      </c>
      <c r="C314" s="76">
        <f>C12-B314</f>
        <v>10298.331662945307</v>
      </c>
      <c r="D314" s="76">
        <f t="shared" si="1"/>
        <v>-200574.63798121235</v>
      </c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</row>
    <row r="315" spans="1:25" ht="14.25" customHeight="1" x14ac:dyDescent="0.15">
      <c r="A315" s="70">
        <v>297</v>
      </c>
      <c r="B315" s="80">
        <f>D314*C9/12</f>
        <v>-543.22297786578349</v>
      </c>
      <c r="C315" s="76">
        <f>C12-B315</f>
        <v>10326.222977865784</v>
      </c>
      <c r="D315" s="76">
        <f t="shared" si="1"/>
        <v>-210900.86095907813</v>
      </c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</row>
    <row r="316" spans="1:25" ht="14.25" customHeight="1" x14ac:dyDescent="0.15">
      <c r="A316" s="70">
        <v>298</v>
      </c>
      <c r="B316" s="80">
        <f>D315*C9/12</f>
        <v>-571.18983176416998</v>
      </c>
      <c r="C316" s="76">
        <f>C12-B316</f>
        <v>10354.18983176417</v>
      </c>
      <c r="D316" s="76">
        <f t="shared" si="1"/>
        <v>-221255.0507908423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</row>
    <row r="317" spans="1:25" ht="14.25" customHeight="1" x14ac:dyDescent="0.15">
      <c r="A317" s="70">
        <v>299</v>
      </c>
      <c r="B317" s="80">
        <f>D316*C9/12</f>
        <v>-599.23242922519796</v>
      </c>
      <c r="C317" s="76">
        <f>C12-B317</f>
        <v>10382.232429225198</v>
      </c>
      <c r="D317" s="76">
        <f t="shared" si="1"/>
        <v>-231637.2832200675</v>
      </c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</row>
    <row r="318" spans="1:25" ht="14.25" customHeight="1" x14ac:dyDescent="0.15">
      <c r="A318" s="70">
        <v>300</v>
      </c>
      <c r="B318" s="80">
        <f>D317*C9/12</f>
        <v>-627.35097538768287</v>
      </c>
      <c r="C318" s="76">
        <f>C12-B318</f>
        <v>10410.350975387682</v>
      </c>
      <c r="D318" s="76">
        <f t="shared" si="1"/>
        <v>-242047.63419545518</v>
      </c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</row>
    <row r="319" spans="1:25" ht="14.25" customHeight="1" x14ac:dyDescent="0.15">
      <c r="A319" s="70">
        <v>301</v>
      </c>
      <c r="B319" s="80">
        <f>D318*C9/12</f>
        <v>-655.54567594602452</v>
      </c>
      <c r="C319" s="76">
        <f>C12-B319</f>
        <v>10438.545675946025</v>
      </c>
      <c r="D319" s="76">
        <f t="shared" si="1"/>
        <v>-252486.1798714012</v>
      </c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</row>
    <row r="320" spans="1:25" ht="14.25" customHeight="1" x14ac:dyDescent="0.15">
      <c r="A320" s="70">
        <v>302</v>
      </c>
      <c r="B320" s="80">
        <f>D319*C9/12</f>
        <v>-683.81673715171155</v>
      </c>
      <c r="C320" s="76">
        <f>C12-B320</f>
        <v>10466.816737151712</v>
      </c>
      <c r="D320" s="76">
        <f t="shared" si="1"/>
        <v>-262952.99660855293</v>
      </c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</row>
    <row r="321" spans="1:25" ht="14.25" customHeight="1" x14ac:dyDescent="0.15">
      <c r="A321" s="70">
        <v>303</v>
      </c>
      <c r="B321" s="80">
        <f>D320*C9/12</f>
        <v>-712.16436581483094</v>
      </c>
      <c r="C321" s="76">
        <f>C12-B321</f>
        <v>10495.164365814831</v>
      </c>
      <c r="D321" s="76">
        <f t="shared" si="1"/>
        <v>-273448.16097436775</v>
      </c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</row>
    <row r="322" spans="1:25" ht="14.25" customHeight="1" x14ac:dyDescent="0.15">
      <c r="A322" s="70">
        <v>304</v>
      </c>
      <c r="B322" s="80">
        <f>D321*C9/12</f>
        <v>-740.58876930557938</v>
      </c>
      <c r="C322" s="76">
        <f>C12-B322</f>
        <v>10523.588769305579</v>
      </c>
      <c r="D322" s="76">
        <f t="shared" si="1"/>
        <v>-283971.74974367331</v>
      </c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</row>
    <row r="323" spans="1:25" ht="14.25" customHeight="1" x14ac:dyDescent="0.15">
      <c r="A323" s="70">
        <v>305</v>
      </c>
      <c r="B323" s="80">
        <f>D322*C9/12</f>
        <v>-769.09015555578196</v>
      </c>
      <c r="C323" s="76">
        <f>C12-B323</f>
        <v>10552.090155555781</v>
      </c>
      <c r="D323" s="76">
        <f t="shared" si="1"/>
        <v>-294523.83989922912</v>
      </c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</row>
    <row r="324" spans="1:25" ht="14.25" customHeight="1" x14ac:dyDescent="0.15">
      <c r="A324" s="70">
        <v>306</v>
      </c>
      <c r="B324" s="80">
        <f>D323*C9/12</f>
        <v>-797.66873306041225</v>
      </c>
      <c r="C324" s="76">
        <f>C12-B324</f>
        <v>10580.668733060413</v>
      </c>
      <c r="D324" s="76">
        <f t="shared" si="1"/>
        <v>-305104.50863228954</v>
      </c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</row>
    <row r="325" spans="1:25" ht="14.25" customHeight="1" x14ac:dyDescent="0.15">
      <c r="A325" s="70">
        <v>307</v>
      </c>
      <c r="B325" s="80">
        <f>D324*C9/12</f>
        <v>-826.32471087911756</v>
      </c>
      <c r="C325" s="76">
        <f>C12-B325</f>
        <v>10609.324710879118</v>
      </c>
      <c r="D325" s="76">
        <f t="shared" si="1"/>
        <v>-315713.83334316866</v>
      </c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</row>
    <row r="326" spans="1:25" ht="14.25" customHeight="1" x14ac:dyDescent="0.15">
      <c r="A326" s="70">
        <v>308</v>
      </c>
      <c r="B326" s="80">
        <f>D325*C9/12</f>
        <v>-855.05829863774852</v>
      </c>
      <c r="C326" s="76">
        <f>C12-B326</f>
        <v>10638.058298637749</v>
      </c>
      <c r="D326" s="76">
        <f t="shared" si="1"/>
        <v>-326351.8916418064</v>
      </c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</row>
    <row r="327" spans="1:25" ht="14.25" customHeight="1" x14ac:dyDescent="0.15">
      <c r="A327" s="70">
        <v>309</v>
      </c>
      <c r="B327" s="80">
        <f>D326*C9/12</f>
        <v>-883.86970652989237</v>
      </c>
      <c r="C327" s="76">
        <f>C12-B327</f>
        <v>10666.869706529893</v>
      </c>
      <c r="D327" s="76">
        <f t="shared" si="1"/>
        <v>-337018.76134833629</v>
      </c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</row>
    <row r="328" spans="1:25" ht="14.25" customHeight="1" x14ac:dyDescent="0.15">
      <c r="A328" s="70">
        <v>310</v>
      </c>
      <c r="B328" s="80">
        <f>D327*C9/12</f>
        <v>-912.7591453184109</v>
      </c>
      <c r="C328" s="76">
        <f>C12-B328</f>
        <v>10695.75914531841</v>
      </c>
      <c r="D328" s="76">
        <f t="shared" si="1"/>
        <v>-347714.52049365471</v>
      </c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</row>
    <row r="329" spans="1:25" ht="14.25" customHeight="1" x14ac:dyDescent="0.15">
      <c r="A329" s="70">
        <v>311</v>
      </c>
      <c r="B329" s="80">
        <f>D328*C9/12</f>
        <v>-941.7268263369815</v>
      </c>
      <c r="C329" s="76">
        <f>C12-B329</f>
        <v>10724.726826336981</v>
      </c>
      <c r="D329" s="76">
        <f t="shared" si="1"/>
        <v>-358439.2473199917</v>
      </c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</row>
    <row r="330" spans="1:25" ht="14.25" customHeight="1" x14ac:dyDescent="0.15">
      <c r="A330" s="70">
        <v>312</v>
      </c>
      <c r="B330" s="80">
        <f>D329*C9/12</f>
        <v>-970.7729614916442</v>
      </c>
      <c r="C330" s="76">
        <f>C12-B330</f>
        <v>10753.772961491644</v>
      </c>
      <c r="D330" s="76">
        <f t="shared" si="1"/>
        <v>-369193.02028148336</v>
      </c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</row>
    <row r="331" spans="1:25" ht="14.25" customHeight="1" x14ac:dyDescent="0.15">
      <c r="A331" s="70">
        <v>313</v>
      </c>
      <c r="B331" s="80">
        <f>D330*C9/12</f>
        <v>-999.89776326235085</v>
      </c>
      <c r="C331" s="76">
        <f>C12-B331</f>
        <v>10782.89776326235</v>
      </c>
      <c r="D331" s="76">
        <f t="shared" si="1"/>
        <v>-379975.91804474569</v>
      </c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</row>
    <row r="332" spans="1:25" ht="14.25" customHeight="1" x14ac:dyDescent="0.15">
      <c r="A332" s="70">
        <v>314</v>
      </c>
      <c r="B332" s="80">
        <f>D331*C9/12</f>
        <v>-1029.1014447045197</v>
      </c>
      <c r="C332" s="76">
        <f>C12-B332</f>
        <v>10812.10144470452</v>
      </c>
      <c r="D332" s="76">
        <f t="shared" si="1"/>
        <v>-390788.01948945021</v>
      </c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</row>
    <row r="333" spans="1:25" ht="14.25" customHeight="1" x14ac:dyDescent="0.15">
      <c r="A333" s="70">
        <v>315</v>
      </c>
      <c r="B333" s="80">
        <f>D332*C9/12</f>
        <v>-1058.3842194505944</v>
      </c>
      <c r="C333" s="76">
        <f>C12-B333</f>
        <v>10841.384219450594</v>
      </c>
      <c r="D333" s="76">
        <f t="shared" si="1"/>
        <v>-401629.40370890079</v>
      </c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</row>
    <row r="334" spans="1:25" ht="14.25" customHeight="1" x14ac:dyDescent="0.15">
      <c r="A334" s="70">
        <v>316</v>
      </c>
      <c r="B334" s="80">
        <f>D333*C9/12</f>
        <v>-1087.7463017116063</v>
      </c>
      <c r="C334" s="76">
        <f>C12-B334</f>
        <v>10870.746301711606</v>
      </c>
      <c r="D334" s="76">
        <f t="shared" si="1"/>
        <v>-412500.15001061239</v>
      </c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</row>
    <row r="335" spans="1:25" ht="14.25" customHeight="1" x14ac:dyDescent="0.15">
      <c r="A335" s="70">
        <v>317</v>
      </c>
      <c r="B335" s="80">
        <f>D334*C9/12</f>
        <v>-1117.1879062787418</v>
      </c>
      <c r="C335" s="76">
        <f>C12-B335</f>
        <v>10900.187906278741</v>
      </c>
      <c r="D335" s="76">
        <f t="shared" si="1"/>
        <v>-423400.33791689115</v>
      </c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</row>
    <row r="336" spans="1:25" ht="14.25" customHeight="1" x14ac:dyDescent="0.15">
      <c r="A336" s="70">
        <v>318</v>
      </c>
      <c r="B336" s="80">
        <f>D335*C9/12</f>
        <v>-1146.7092485249136</v>
      </c>
      <c r="C336" s="76">
        <f>C12-B336</f>
        <v>10929.709248524914</v>
      </c>
      <c r="D336" s="76">
        <f t="shared" si="1"/>
        <v>-434330.04716541606</v>
      </c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</row>
    <row r="337" spans="1:25" ht="14.25" customHeight="1" x14ac:dyDescent="0.15">
      <c r="A337" s="70">
        <v>319</v>
      </c>
      <c r="B337" s="80">
        <f>D336*C9/12</f>
        <v>-1176.3105444063351</v>
      </c>
      <c r="C337" s="76">
        <f>C12-B337</f>
        <v>10959.310544406335</v>
      </c>
      <c r="D337" s="76">
        <f t="shared" si="1"/>
        <v>-445289.35770982242</v>
      </c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</row>
    <row r="338" spans="1:25" ht="14.25" customHeight="1" x14ac:dyDescent="0.15">
      <c r="A338" s="70">
        <v>320</v>
      </c>
      <c r="B338" s="80">
        <f>D337*C9/12</f>
        <v>-1205.9920104641026</v>
      </c>
      <c r="C338" s="76">
        <f>C12-B338</f>
        <v>10988.992010464102</v>
      </c>
      <c r="D338" s="76">
        <f t="shared" si="1"/>
        <v>-456278.3497202865</v>
      </c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</row>
    <row r="339" spans="1:25" ht="14.25" customHeight="1" x14ac:dyDescent="0.15">
      <c r="A339" s="70">
        <v>321</v>
      </c>
      <c r="B339" s="80">
        <f>D338*C9/12</f>
        <v>-1235.7538638257759</v>
      </c>
      <c r="C339" s="76">
        <f>C12-B339</f>
        <v>11018.753863825776</v>
      </c>
      <c r="D339" s="76">
        <f t="shared" si="1"/>
        <v>-467297.10358411225</v>
      </c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</row>
    <row r="340" spans="1:25" ht="14.25" customHeight="1" x14ac:dyDescent="0.15">
      <c r="A340" s="70">
        <v>322</v>
      </c>
      <c r="B340" s="80">
        <f>D339*C9/12</f>
        <v>-1265.5963222069706</v>
      </c>
      <c r="C340" s="76">
        <f>C12-B340</f>
        <v>11048.596322206971</v>
      </c>
      <c r="D340" s="76">
        <f t="shared" si="1"/>
        <v>-478345.69990631921</v>
      </c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</row>
    <row r="341" spans="1:25" ht="14.25" customHeight="1" x14ac:dyDescent="0.15">
      <c r="A341" s="70">
        <v>323</v>
      </c>
      <c r="B341" s="80">
        <f>D340*C9/12</f>
        <v>-1295.519603912948</v>
      </c>
      <c r="C341" s="76">
        <f>C12-B341</f>
        <v>11078.519603912948</v>
      </c>
      <c r="D341" s="76">
        <f t="shared" si="1"/>
        <v>-489424.21951023216</v>
      </c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</row>
    <row r="342" spans="1:25" ht="14.25" customHeight="1" x14ac:dyDescent="0.15">
      <c r="A342" s="70">
        <v>324</v>
      </c>
      <c r="B342" s="80">
        <f>D341*C9/12</f>
        <v>-1325.5239278402121</v>
      </c>
      <c r="C342" s="76">
        <f>C12-B342</f>
        <v>11108.523927840211</v>
      </c>
      <c r="D342" s="76">
        <f t="shared" si="1"/>
        <v>-500532.74343807239</v>
      </c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</row>
    <row r="343" spans="1:25" ht="14.25" customHeight="1" x14ac:dyDescent="0.15">
      <c r="A343" s="70">
        <v>325</v>
      </c>
      <c r="B343" s="80">
        <f>D342*C9/12</f>
        <v>-1355.6095134781128</v>
      </c>
      <c r="C343" s="76">
        <f>C12-B343</f>
        <v>11138.609513478114</v>
      </c>
      <c r="D343" s="76">
        <f t="shared" si="1"/>
        <v>-511671.35295155051</v>
      </c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</row>
    <row r="344" spans="1:25" ht="14.25" customHeight="1" x14ac:dyDescent="0.15">
      <c r="A344" s="70">
        <v>326</v>
      </c>
      <c r="B344" s="80">
        <f>D343*C9/12</f>
        <v>-1385.7765809104494</v>
      </c>
      <c r="C344" s="76">
        <f>C12-B344</f>
        <v>11168.776580910449</v>
      </c>
      <c r="D344" s="76">
        <f t="shared" si="1"/>
        <v>-522840.12953246094</v>
      </c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</row>
    <row r="345" spans="1:25" ht="14.25" customHeight="1" x14ac:dyDescent="0.15">
      <c r="A345" s="70">
        <v>327</v>
      </c>
      <c r="B345" s="80">
        <f>D344*C9/12</f>
        <v>-1416.0253508170817</v>
      </c>
      <c r="C345" s="76">
        <f>C12-B345</f>
        <v>11199.025350817083</v>
      </c>
      <c r="D345" s="76">
        <f t="shared" si="1"/>
        <v>-534039.15488327807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</row>
    <row r="346" spans="1:25" ht="14.25" customHeight="1" x14ac:dyDescent="0.15">
      <c r="A346" s="70">
        <v>328</v>
      </c>
      <c r="B346" s="80">
        <f>D345*C9/12</f>
        <v>-1446.3560444755449</v>
      </c>
      <c r="C346" s="76">
        <f>C12-B346</f>
        <v>11229.356044475546</v>
      </c>
      <c r="D346" s="76">
        <f t="shared" si="1"/>
        <v>-545268.51092775364</v>
      </c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</row>
    <row r="347" spans="1:25" ht="14.25" customHeight="1" x14ac:dyDescent="0.15">
      <c r="A347" s="70">
        <v>329</v>
      </c>
      <c r="B347" s="80">
        <f>D346*C9/12</f>
        <v>-1476.7688837626663</v>
      </c>
      <c r="C347" s="76">
        <f>C12-B347</f>
        <v>11259.768883762667</v>
      </c>
      <c r="D347" s="76">
        <f t="shared" si="1"/>
        <v>-556528.27981151629</v>
      </c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</row>
    <row r="348" spans="1:25" ht="14.25" customHeight="1" x14ac:dyDescent="0.15">
      <c r="A348" s="70">
        <v>330</v>
      </c>
      <c r="B348" s="80">
        <f>D347*C9/12</f>
        <v>-1507.26409115619</v>
      </c>
      <c r="C348" s="76">
        <f>C12-B348</f>
        <v>11290.26409115619</v>
      </c>
      <c r="D348" s="76">
        <f t="shared" si="1"/>
        <v>-567818.54390267248</v>
      </c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</row>
    <row r="349" spans="1:25" ht="14.25" customHeight="1" x14ac:dyDescent="0.15">
      <c r="A349" s="70">
        <v>331</v>
      </c>
      <c r="B349" s="80">
        <f>D348*C9/12</f>
        <v>-1537.8418897364047</v>
      </c>
      <c r="C349" s="76">
        <f>C12-B349</f>
        <v>11320.841889736404</v>
      </c>
      <c r="D349" s="76">
        <f t="shared" si="1"/>
        <v>-579139.38579240884</v>
      </c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</row>
    <row r="350" spans="1:25" ht="14.25" customHeight="1" x14ac:dyDescent="0.15">
      <c r="A350" s="70">
        <v>332</v>
      </c>
      <c r="B350" s="80">
        <f>D349*C9/12</f>
        <v>-1568.502503187774</v>
      </c>
      <c r="C350" s="76">
        <f>C12-B350</f>
        <v>11351.502503187774</v>
      </c>
      <c r="D350" s="76">
        <f t="shared" si="1"/>
        <v>-590490.88829559658</v>
      </c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</row>
    <row r="351" spans="1:25" ht="14.25" customHeight="1" x14ac:dyDescent="0.15">
      <c r="A351" s="70">
        <v>333</v>
      </c>
      <c r="B351" s="80">
        <f>D350*C9/12</f>
        <v>-1599.2461558005741</v>
      </c>
      <c r="C351" s="76">
        <f>C12-B351</f>
        <v>11382.246155800574</v>
      </c>
      <c r="D351" s="76">
        <f t="shared" si="1"/>
        <v>-601873.13445139711</v>
      </c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</row>
    <row r="352" spans="1:25" ht="14.25" customHeight="1" x14ac:dyDescent="0.15">
      <c r="A352" s="70">
        <v>334</v>
      </c>
      <c r="B352" s="80">
        <f>D351*C9/12</f>
        <v>-1630.0730724725338</v>
      </c>
      <c r="C352" s="76">
        <f>C12-B352</f>
        <v>11413.073072472534</v>
      </c>
      <c r="D352" s="76">
        <f t="shared" si="1"/>
        <v>-613286.2075238697</v>
      </c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</row>
    <row r="353" spans="1:25" ht="14.25" customHeight="1" x14ac:dyDescent="0.15">
      <c r="A353" s="70">
        <v>335</v>
      </c>
      <c r="B353" s="80">
        <f>D352*C9/12</f>
        <v>-1660.9834787104803</v>
      </c>
      <c r="C353" s="76">
        <f>C12-B353</f>
        <v>11443.983478710481</v>
      </c>
      <c r="D353" s="76">
        <f t="shared" si="1"/>
        <v>-624730.19100258022</v>
      </c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</row>
    <row r="354" spans="1:25" ht="14.25" customHeight="1" x14ac:dyDescent="0.15">
      <c r="A354" s="70">
        <v>336</v>
      </c>
      <c r="B354" s="80">
        <f>D353*C9/12</f>
        <v>-1691.977600631988</v>
      </c>
      <c r="C354" s="76">
        <f>C12-B354</f>
        <v>11474.977600631988</v>
      </c>
      <c r="D354" s="76">
        <f t="shared" si="1"/>
        <v>-636205.16860321222</v>
      </c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</row>
    <row r="355" spans="1:25" ht="14.25" customHeight="1" x14ac:dyDescent="0.15">
      <c r="A355" s="70">
        <v>337</v>
      </c>
      <c r="B355" s="80">
        <f>D354*C9/12</f>
        <v>-1723.0556649670332</v>
      </c>
      <c r="C355" s="76">
        <f>C12-B355</f>
        <v>11506.055664967032</v>
      </c>
      <c r="D355" s="76">
        <f t="shared" si="1"/>
        <v>-647711.22426817927</v>
      </c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</row>
    <row r="356" spans="1:25" ht="14.25" customHeight="1" x14ac:dyDescent="0.15">
      <c r="A356" s="70">
        <v>338</v>
      </c>
      <c r="B356" s="80">
        <f>D355*C9/12</f>
        <v>-1754.2178990596522</v>
      </c>
      <c r="C356" s="76">
        <f>C12-B356</f>
        <v>11537.217899059651</v>
      </c>
      <c r="D356" s="76">
        <f t="shared" si="1"/>
        <v>-659248.44216723891</v>
      </c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</row>
    <row r="357" spans="1:25" ht="14.25" customHeight="1" x14ac:dyDescent="0.15">
      <c r="A357" s="70">
        <v>339</v>
      </c>
      <c r="B357" s="80">
        <f>D356*C9/12</f>
        <v>-1785.4645308696054</v>
      </c>
      <c r="C357" s="76">
        <f>C12-B357</f>
        <v>11568.464530869605</v>
      </c>
      <c r="D357" s="76">
        <f t="shared" si="1"/>
        <v>-670816.90669810853</v>
      </c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</row>
    <row r="358" spans="1:25" ht="14.25" customHeight="1" x14ac:dyDescent="0.15">
      <c r="A358" s="70">
        <v>340</v>
      </c>
      <c r="B358" s="80">
        <f>D357*C9/12</f>
        <v>-1816.7957889740439</v>
      </c>
      <c r="C358" s="76">
        <f>C12-B358</f>
        <v>11599.795788974045</v>
      </c>
      <c r="D358" s="76">
        <f t="shared" si="1"/>
        <v>-682416.70248708257</v>
      </c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</row>
    <row r="359" spans="1:25" ht="14.25" customHeight="1" x14ac:dyDescent="0.15">
      <c r="A359" s="70">
        <v>341</v>
      </c>
      <c r="B359" s="80">
        <f>D358*C9/12</f>
        <v>-1848.211902569182</v>
      </c>
      <c r="C359" s="76">
        <f>C12-B359</f>
        <v>11631.211902569183</v>
      </c>
      <c r="D359" s="76">
        <f t="shared" si="1"/>
        <v>-694047.91438965173</v>
      </c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</row>
    <row r="360" spans="1:25" ht="14.25" customHeight="1" x14ac:dyDescent="0.15">
      <c r="A360" s="70">
        <v>342</v>
      </c>
      <c r="B360" s="80">
        <f>D359*C9/12</f>
        <v>-1879.7131014719735</v>
      </c>
      <c r="C360" s="76">
        <f>C12-B360</f>
        <v>11662.713101471974</v>
      </c>
      <c r="D360" s="76">
        <f t="shared" si="1"/>
        <v>-705710.62749112374</v>
      </c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</row>
    <row r="361" spans="1:25" ht="14.25" customHeight="1" x14ac:dyDescent="0.15">
      <c r="A361" s="70">
        <v>343</v>
      </c>
      <c r="B361" s="80">
        <f>D360*C9/12</f>
        <v>-1911.2996161217934</v>
      </c>
      <c r="C361" s="76">
        <f>C12-B361</f>
        <v>11694.299616121792</v>
      </c>
      <c r="D361" s="76">
        <f t="shared" si="1"/>
        <v>-717404.92710724554</v>
      </c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</row>
    <row r="362" spans="1:25" ht="14.25" customHeight="1" x14ac:dyDescent="0.15">
      <c r="A362" s="70">
        <v>344</v>
      </c>
      <c r="B362" s="80">
        <f>D361*C9/12</f>
        <v>-1942.9716775821234</v>
      </c>
      <c r="C362" s="76">
        <f>C12-B362</f>
        <v>11725.971677582123</v>
      </c>
      <c r="D362" s="76">
        <f t="shared" si="1"/>
        <v>-729130.89878482767</v>
      </c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</row>
    <row r="363" spans="1:25" ht="14.25" customHeight="1" x14ac:dyDescent="0.15">
      <c r="A363" s="70">
        <v>345</v>
      </c>
      <c r="B363" s="80">
        <f>D362*C9/12</f>
        <v>-1974.7295175422416</v>
      </c>
      <c r="C363" s="76">
        <f>C12-B363</f>
        <v>11757.729517542242</v>
      </c>
      <c r="D363" s="76">
        <f t="shared" si="1"/>
        <v>-740888.62830236997</v>
      </c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</row>
    <row r="364" spans="1:25" ht="14.25" customHeight="1" x14ac:dyDescent="0.15">
      <c r="A364" s="70">
        <v>346</v>
      </c>
      <c r="B364" s="80">
        <f>D363*C9/12</f>
        <v>-2006.5733683189189</v>
      </c>
      <c r="C364" s="76">
        <f>C12-B364</f>
        <v>11789.573368318919</v>
      </c>
      <c r="D364" s="76">
        <f t="shared" si="1"/>
        <v>-752678.20167068893</v>
      </c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</row>
    <row r="365" spans="1:25" ht="14.25" customHeight="1" x14ac:dyDescent="0.15">
      <c r="A365" s="70">
        <v>347</v>
      </c>
      <c r="B365" s="80">
        <f>D364*C9/12</f>
        <v>-2038.5034628581159</v>
      </c>
      <c r="C365" s="76">
        <f>C12-B365</f>
        <v>11821.503462858116</v>
      </c>
      <c r="D365" s="76">
        <f t="shared" si="1"/>
        <v>-764499.70513354708</v>
      </c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</row>
    <row r="366" spans="1:25" ht="14.25" customHeight="1" x14ac:dyDescent="0.15">
      <c r="A366" s="70">
        <v>348</v>
      </c>
      <c r="B366" s="80">
        <f>D365*C9/12</f>
        <v>-2070.5200347366899</v>
      </c>
      <c r="C366" s="76">
        <f>C12-B366</f>
        <v>11853.52003473669</v>
      </c>
      <c r="D366" s="76">
        <f t="shared" si="1"/>
        <v>-776353.2251682838</v>
      </c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</row>
    <row r="367" spans="1:25" ht="14.25" customHeight="1" x14ac:dyDescent="0.15">
      <c r="A367" s="70">
        <v>349</v>
      </c>
      <c r="B367" s="80">
        <f>D366*C9/12</f>
        <v>-2102.6233181641019</v>
      </c>
      <c r="C367" s="76">
        <f>C12-B367</f>
        <v>11885.623318164102</v>
      </c>
      <c r="D367" s="76">
        <f t="shared" si="1"/>
        <v>-788238.84848644794</v>
      </c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</row>
    <row r="368" spans="1:25" ht="14.25" customHeight="1" x14ac:dyDescent="0.15">
      <c r="A368" s="70">
        <v>350</v>
      </c>
      <c r="B368" s="80">
        <f>D367*C9/12</f>
        <v>-2134.8135479841299</v>
      </c>
      <c r="C368" s="76">
        <f>C12-B368</f>
        <v>11917.813547984129</v>
      </c>
      <c r="D368" s="76">
        <f t="shared" si="1"/>
        <v>-800156.66203443205</v>
      </c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</row>
    <row r="369" spans="1:25" ht="14.25" customHeight="1" x14ac:dyDescent="0.15">
      <c r="A369" s="70">
        <v>351</v>
      </c>
      <c r="B369" s="80">
        <f>D368*C9/12</f>
        <v>-2167.0909596765869</v>
      </c>
      <c r="C369" s="76">
        <f>C12-B369</f>
        <v>11950.090959676587</v>
      </c>
      <c r="D369" s="76">
        <f t="shared" si="1"/>
        <v>-812106.7529941086</v>
      </c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</row>
    <row r="370" spans="1:25" ht="14.25" customHeight="1" x14ac:dyDescent="0.15">
      <c r="A370" s="70">
        <v>352</v>
      </c>
      <c r="B370" s="80">
        <f>D369*C9/12</f>
        <v>-2199.455789359044</v>
      </c>
      <c r="C370" s="76">
        <f>C12-B370</f>
        <v>11982.455789359045</v>
      </c>
      <c r="D370" s="76">
        <f t="shared" si="1"/>
        <v>-824089.20878346765</v>
      </c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</row>
    <row r="371" spans="1:25" ht="14.25" customHeight="1" x14ac:dyDescent="0.15">
      <c r="A371" s="70">
        <v>353</v>
      </c>
      <c r="B371" s="80">
        <f>D370*C9/12</f>
        <v>-2231.9082737885583</v>
      </c>
      <c r="C371" s="76">
        <f>C12-B371</f>
        <v>12014.908273788558</v>
      </c>
      <c r="D371" s="76">
        <f t="shared" si="1"/>
        <v>-836104.11705725617</v>
      </c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</row>
    <row r="372" spans="1:25" ht="14.25" customHeight="1" x14ac:dyDescent="0.15">
      <c r="A372" s="70">
        <v>354</v>
      </c>
      <c r="B372" s="80">
        <f>D371*C9/12</f>
        <v>-2264.4486503634021</v>
      </c>
      <c r="C372" s="76">
        <f>C12-B372</f>
        <v>12047.448650363402</v>
      </c>
      <c r="D372" s="76">
        <f t="shared" si="1"/>
        <v>-848151.56570761953</v>
      </c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</row>
    <row r="373" spans="1:25" ht="14.25" customHeight="1" x14ac:dyDescent="0.15">
      <c r="A373" s="70">
        <v>355</v>
      </c>
      <c r="B373" s="80">
        <f>D372*C9/12</f>
        <v>-2297.0771571248029</v>
      </c>
      <c r="C373" s="76">
        <f>C12-B373</f>
        <v>12080.077157124802</v>
      </c>
      <c r="D373" s="76">
        <f t="shared" si="1"/>
        <v>-860231.6428647443</v>
      </c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</row>
    <row r="374" spans="1:25" ht="14.25" customHeight="1" x14ac:dyDescent="0.15">
      <c r="A374" s="70">
        <v>356</v>
      </c>
      <c r="B374" s="80">
        <f>D373*C9/12</f>
        <v>-2329.7940327586825</v>
      </c>
      <c r="C374" s="76">
        <f>C12-B374</f>
        <v>12112.794032758682</v>
      </c>
      <c r="D374" s="76">
        <f t="shared" si="1"/>
        <v>-872344.43689750298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</row>
    <row r="375" spans="1:25" ht="14.25" customHeight="1" x14ac:dyDescent="0.15">
      <c r="A375" s="70">
        <v>357</v>
      </c>
      <c r="B375" s="80">
        <f>D374*C9/12</f>
        <v>-2362.5995165974041</v>
      </c>
      <c r="C375" s="76">
        <f>C12-B375</f>
        <v>12145.599516597404</v>
      </c>
      <c r="D375" s="76">
        <f t="shared" si="1"/>
        <v>-884490.03641410044</v>
      </c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</row>
    <row r="376" spans="1:25" ht="14.25" customHeight="1" x14ac:dyDescent="0.15">
      <c r="A376" s="70">
        <v>358</v>
      </c>
      <c r="B376" s="80">
        <f>D375*C9/12</f>
        <v>-2395.4938486215219</v>
      </c>
      <c r="C376" s="76">
        <f>C12-B376</f>
        <v>12178.493848621521</v>
      </c>
      <c r="D376" s="76">
        <f t="shared" si="1"/>
        <v>-896668.53026272194</v>
      </c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</row>
    <row r="377" spans="1:25" ht="14.25" customHeight="1" x14ac:dyDescent="0.15">
      <c r="A377" s="70">
        <v>359</v>
      </c>
      <c r="B377" s="80">
        <f>D376*C9/12</f>
        <v>-2428.4772694615385</v>
      </c>
      <c r="C377" s="76">
        <f>C12-B377</f>
        <v>12211.477269461539</v>
      </c>
      <c r="D377" s="76">
        <f t="shared" si="1"/>
        <v>-908880.00753218343</v>
      </c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</row>
    <row r="378" spans="1:25" ht="14.25" customHeight="1" x14ac:dyDescent="0.15">
      <c r="A378" s="70">
        <v>360</v>
      </c>
      <c r="B378" s="80">
        <f>D377*C9/12</f>
        <v>-2461.5500203996635</v>
      </c>
      <c r="C378" s="76">
        <f>C12-B378</f>
        <v>12244.550020399663</v>
      </c>
      <c r="D378" s="76">
        <f t="shared" si="1"/>
        <v>-921124.55755258305</v>
      </c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</row>
    <row r="379" spans="1:25" ht="14.25" customHeight="1" x14ac:dyDescent="0.15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</row>
    <row r="380" spans="1:25" ht="14.25" customHeight="1" x14ac:dyDescent="0.15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</row>
    <row r="381" spans="1:25" ht="14.25" customHeight="1" x14ac:dyDescent="0.15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</row>
    <row r="382" spans="1:25" ht="14.25" customHeight="1" x14ac:dyDescent="0.15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</row>
    <row r="383" spans="1:25" ht="14.25" customHeight="1" x14ac:dyDescent="0.15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</row>
    <row r="384" spans="1:25" ht="14.25" customHeight="1" x14ac:dyDescent="0.15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</row>
    <row r="385" spans="1:25" ht="14.25" customHeight="1" x14ac:dyDescent="0.1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</row>
    <row r="386" spans="1:25" ht="14.25" customHeight="1" x14ac:dyDescent="0.15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</row>
    <row r="387" spans="1:25" ht="14.25" customHeight="1" x14ac:dyDescent="0.15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</row>
    <row r="388" spans="1:25" ht="14.25" customHeight="1" x14ac:dyDescent="0.15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</row>
    <row r="389" spans="1:25" ht="14.25" customHeight="1" x14ac:dyDescent="0.15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</row>
    <row r="390" spans="1:25" ht="14.25" customHeight="1" x14ac:dyDescent="0.15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</row>
    <row r="391" spans="1:25" ht="14.25" customHeight="1" x14ac:dyDescent="0.15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</row>
    <row r="392" spans="1:25" ht="14.25" customHeight="1" x14ac:dyDescent="0.15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</row>
    <row r="393" spans="1:25" ht="14.25" customHeight="1" x14ac:dyDescent="0.15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</row>
    <row r="394" spans="1:25" ht="14.25" customHeight="1" x14ac:dyDescent="0.15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</row>
    <row r="395" spans="1:25" ht="14.25" customHeight="1" x14ac:dyDescent="0.1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</row>
    <row r="396" spans="1:25" ht="14.25" customHeight="1" x14ac:dyDescent="0.15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</row>
    <row r="397" spans="1:25" ht="14.25" customHeight="1" x14ac:dyDescent="0.15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</row>
    <row r="398" spans="1:25" ht="14.25" customHeight="1" x14ac:dyDescent="0.15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</row>
    <row r="399" spans="1:25" ht="14.25" customHeight="1" x14ac:dyDescent="0.15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</row>
    <row r="400" spans="1:25" ht="14.25" customHeight="1" x14ac:dyDescent="0.15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</row>
    <row r="401" spans="1:25" ht="14.25" customHeight="1" x14ac:dyDescent="0.15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</row>
    <row r="402" spans="1:25" ht="14.25" customHeight="1" x14ac:dyDescent="0.15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</row>
    <row r="403" spans="1:25" ht="14.25" customHeight="1" x14ac:dyDescent="0.15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</row>
    <row r="404" spans="1:25" ht="14.25" customHeight="1" x14ac:dyDescent="0.15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</row>
    <row r="405" spans="1:25" ht="14.25" customHeight="1" x14ac:dyDescent="0.1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</row>
    <row r="406" spans="1:25" ht="14.25" customHeight="1" x14ac:dyDescent="0.15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</row>
    <row r="407" spans="1:25" ht="14.25" customHeight="1" x14ac:dyDescent="0.15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</row>
    <row r="408" spans="1:25" ht="14.25" customHeight="1" x14ac:dyDescent="0.15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</row>
    <row r="409" spans="1:25" ht="14.25" customHeight="1" x14ac:dyDescent="0.15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</row>
    <row r="410" spans="1:25" ht="14.25" customHeight="1" x14ac:dyDescent="0.15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</row>
    <row r="411" spans="1:25" ht="14.25" customHeight="1" x14ac:dyDescent="0.15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</row>
    <row r="412" spans="1:25" ht="14.25" customHeight="1" x14ac:dyDescent="0.15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</row>
    <row r="413" spans="1:25" ht="14.25" customHeight="1" x14ac:dyDescent="0.15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</row>
    <row r="414" spans="1:25" ht="14.25" customHeight="1" x14ac:dyDescent="0.15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</row>
    <row r="415" spans="1:25" ht="14.25" customHeight="1" x14ac:dyDescent="0.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</row>
    <row r="416" spans="1:25" ht="14.25" customHeight="1" x14ac:dyDescent="0.15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</row>
    <row r="417" spans="1:25" ht="14.25" customHeight="1" x14ac:dyDescent="0.15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</row>
    <row r="418" spans="1:25" ht="14.25" customHeight="1" x14ac:dyDescent="0.15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</row>
    <row r="419" spans="1:25" ht="14.25" customHeight="1" x14ac:dyDescent="0.15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</row>
    <row r="420" spans="1:25" ht="14.25" customHeight="1" x14ac:dyDescent="0.15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</row>
    <row r="421" spans="1:25" ht="14.25" customHeight="1" x14ac:dyDescent="0.15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</row>
    <row r="422" spans="1:25" ht="14.25" customHeight="1" x14ac:dyDescent="0.15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</row>
    <row r="423" spans="1:25" ht="14.25" customHeight="1" x14ac:dyDescent="0.15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</row>
    <row r="424" spans="1:25" ht="14.25" customHeight="1" x14ac:dyDescent="0.15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</row>
    <row r="425" spans="1:25" ht="14.25" customHeight="1" x14ac:dyDescent="0.1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</row>
    <row r="426" spans="1:25" ht="14.25" customHeight="1" x14ac:dyDescent="0.15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</row>
    <row r="427" spans="1:25" ht="14.25" customHeight="1" x14ac:dyDescent="0.15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</row>
    <row r="428" spans="1:25" ht="14.25" customHeight="1" x14ac:dyDescent="0.15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</row>
    <row r="429" spans="1:25" ht="14.25" customHeight="1" x14ac:dyDescent="0.15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</row>
    <row r="430" spans="1:25" ht="14.25" customHeight="1" x14ac:dyDescent="0.15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</row>
    <row r="431" spans="1:25" ht="14.25" customHeight="1" x14ac:dyDescent="0.15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</row>
    <row r="432" spans="1:25" ht="14.25" customHeight="1" x14ac:dyDescent="0.15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</row>
    <row r="433" spans="1:25" ht="14.25" customHeight="1" x14ac:dyDescent="0.15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</row>
    <row r="434" spans="1:25" ht="14.25" customHeight="1" x14ac:dyDescent="0.15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</row>
    <row r="435" spans="1:25" ht="14.25" customHeight="1" x14ac:dyDescent="0.1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</row>
    <row r="436" spans="1:25" ht="14.25" customHeight="1" x14ac:dyDescent="0.15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</row>
    <row r="437" spans="1:25" ht="14.25" customHeight="1" x14ac:dyDescent="0.15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</row>
    <row r="438" spans="1:25" ht="14.25" customHeight="1" x14ac:dyDescent="0.15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</row>
    <row r="439" spans="1:25" ht="14.25" customHeight="1" x14ac:dyDescent="0.15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</row>
    <row r="440" spans="1:25" ht="14.25" customHeight="1" x14ac:dyDescent="0.15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</row>
    <row r="441" spans="1:25" ht="14.25" customHeight="1" x14ac:dyDescent="0.15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</row>
    <row r="442" spans="1:25" ht="14.25" customHeight="1" x14ac:dyDescent="0.15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</row>
    <row r="443" spans="1:25" ht="14.25" customHeight="1" x14ac:dyDescent="0.15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</row>
    <row r="444" spans="1:25" ht="14.25" customHeight="1" x14ac:dyDescent="0.15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</row>
    <row r="445" spans="1:25" ht="14.25" customHeight="1" x14ac:dyDescent="0.1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</row>
    <row r="446" spans="1:25" ht="14.25" customHeight="1" x14ac:dyDescent="0.15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</row>
    <row r="447" spans="1:25" ht="14.25" customHeight="1" x14ac:dyDescent="0.15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</row>
    <row r="448" spans="1:25" ht="14.25" customHeight="1" x14ac:dyDescent="0.15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</row>
    <row r="449" spans="1:25" ht="14.25" customHeight="1" x14ac:dyDescent="0.15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</row>
    <row r="450" spans="1:25" ht="14.25" customHeight="1" x14ac:dyDescent="0.15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</row>
    <row r="451" spans="1:25" ht="14.25" customHeight="1" x14ac:dyDescent="0.15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</row>
    <row r="452" spans="1:25" ht="14.25" customHeight="1" x14ac:dyDescent="0.15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</row>
    <row r="453" spans="1:25" ht="14.25" customHeight="1" x14ac:dyDescent="0.15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</row>
    <row r="454" spans="1:25" ht="14.25" customHeight="1" x14ac:dyDescent="0.15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</row>
    <row r="455" spans="1:25" ht="14.25" customHeight="1" x14ac:dyDescent="0.1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</row>
    <row r="456" spans="1:25" ht="14.25" customHeight="1" x14ac:dyDescent="0.15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</row>
    <row r="457" spans="1:25" ht="14.25" customHeight="1" x14ac:dyDescent="0.15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</row>
    <row r="458" spans="1:25" ht="14.25" customHeight="1" x14ac:dyDescent="0.15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</row>
    <row r="459" spans="1:25" ht="14.25" customHeight="1" x14ac:dyDescent="0.15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</row>
    <row r="460" spans="1:25" ht="14.25" customHeight="1" x14ac:dyDescent="0.15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</row>
    <row r="461" spans="1:25" ht="14.25" customHeight="1" x14ac:dyDescent="0.15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</row>
    <row r="462" spans="1:25" ht="14.25" customHeight="1" x14ac:dyDescent="0.15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</row>
    <row r="463" spans="1:25" ht="14.25" customHeight="1" x14ac:dyDescent="0.15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</row>
    <row r="464" spans="1:25" ht="14.25" customHeight="1" x14ac:dyDescent="0.15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</row>
    <row r="465" spans="1:25" ht="14.25" customHeight="1" x14ac:dyDescent="0.1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</row>
    <row r="466" spans="1:25" ht="14.25" customHeight="1" x14ac:dyDescent="0.15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</row>
    <row r="467" spans="1:25" ht="14.25" customHeight="1" x14ac:dyDescent="0.15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</row>
    <row r="468" spans="1:25" ht="14.25" customHeight="1" x14ac:dyDescent="0.15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</row>
    <row r="469" spans="1:25" ht="14.25" customHeight="1" x14ac:dyDescent="0.15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</row>
    <row r="470" spans="1:25" ht="14.25" customHeight="1" x14ac:dyDescent="0.15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</row>
    <row r="471" spans="1:25" ht="14.25" customHeight="1" x14ac:dyDescent="0.15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</row>
    <row r="472" spans="1:25" ht="14.25" customHeight="1" x14ac:dyDescent="0.15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</row>
    <row r="473" spans="1:25" ht="14.25" customHeight="1" x14ac:dyDescent="0.15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</row>
    <row r="474" spans="1:25" ht="14.25" customHeight="1" x14ac:dyDescent="0.15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</row>
    <row r="475" spans="1:25" ht="14.25" customHeight="1" x14ac:dyDescent="0.1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</row>
    <row r="476" spans="1:25" ht="14.25" customHeight="1" x14ac:dyDescent="0.15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</row>
    <row r="477" spans="1:25" ht="14.25" customHeight="1" x14ac:dyDescent="0.15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</row>
    <row r="478" spans="1:25" ht="14.25" customHeight="1" x14ac:dyDescent="0.15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</row>
    <row r="479" spans="1:25" ht="14.25" customHeight="1" x14ac:dyDescent="0.15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</row>
    <row r="480" spans="1:25" ht="14.25" customHeight="1" x14ac:dyDescent="0.15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</row>
    <row r="481" spans="1:25" ht="14.25" customHeight="1" x14ac:dyDescent="0.15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</row>
    <row r="482" spans="1:25" ht="14.25" customHeight="1" x14ac:dyDescent="0.15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</row>
    <row r="483" spans="1:25" ht="14.25" customHeight="1" x14ac:dyDescent="0.15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</row>
    <row r="484" spans="1:25" ht="14.25" customHeight="1" x14ac:dyDescent="0.15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</row>
    <row r="485" spans="1:25" ht="14.25" customHeight="1" x14ac:dyDescent="0.1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</row>
    <row r="486" spans="1:25" ht="14.25" customHeight="1" x14ac:dyDescent="0.15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</row>
    <row r="487" spans="1:25" ht="14.25" customHeight="1" x14ac:dyDescent="0.15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</row>
    <row r="488" spans="1:25" ht="14.25" customHeight="1" x14ac:dyDescent="0.15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</row>
    <row r="489" spans="1:25" ht="14.25" customHeight="1" x14ac:dyDescent="0.15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</row>
    <row r="490" spans="1:25" ht="14.25" customHeight="1" x14ac:dyDescent="0.15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</row>
    <row r="491" spans="1:25" ht="14.25" customHeight="1" x14ac:dyDescent="0.15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</row>
    <row r="492" spans="1:25" ht="14.25" customHeight="1" x14ac:dyDescent="0.15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</row>
    <row r="493" spans="1:25" ht="14.25" customHeight="1" x14ac:dyDescent="0.15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</row>
    <row r="494" spans="1:25" ht="14.25" customHeight="1" x14ac:dyDescent="0.15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</row>
    <row r="495" spans="1:25" ht="14.25" customHeight="1" x14ac:dyDescent="0.1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</row>
    <row r="496" spans="1:25" ht="14.25" customHeight="1" x14ac:dyDescent="0.15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</row>
    <row r="497" spans="1:25" ht="14.25" customHeight="1" x14ac:dyDescent="0.15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</row>
    <row r="498" spans="1:25" ht="14.25" customHeight="1" x14ac:dyDescent="0.15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</row>
    <row r="499" spans="1:25" ht="14.25" customHeight="1" x14ac:dyDescent="0.15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</row>
    <row r="500" spans="1:25" ht="14.25" customHeight="1" x14ac:dyDescent="0.15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</row>
    <row r="501" spans="1:25" ht="14.25" customHeight="1" x14ac:dyDescent="0.15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</row>
    <row r="502" spans="1:25" ht="14.25" customHeight="1" x14ac:dyDescent="0.15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</row>
    <row r="503" spans="1:25" ht="14.25" customHeight="1" x14ac:dyDescent="0.15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</row>
    <row r="504" spans="1:25" ht="14.25" customHeight="1" x14ac:dyDescent="0.15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</row>
    <row r="505" spans="1:25" ht="14.25" customHeight="1" x14ac:dyDescent="0.1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</row>
    <row r="506" spans="1:25" ht="14.25" customHeight="1" x14ac:dyDescent="0.15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</row>
    <row r="507" spans="1:25" ht="14.25" customHeight="1" x14ac:dyDescent="0.15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</row>
    <row r="508" spans="1:25" ht="14.25" customHeight="1" x14ac:dyDescent="0.15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</row>
    <row r="509" spans="1:25" ht="14.25" customHeight="1" x14ac:dyDescent="0.15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</row>
    <row r="510" spans="1:25" ht="14.25" customHeight="1" x14ac:dyDescent="0.15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</row>
    <row r="511" spans="1:25" ht="14.25" customHeight="1" x14ac:dyDescent="0.15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</row>
    <row r="512" spans="1:25" ht="14.25" customHeight="1" x14ac:dyDescent="0.15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</row>
    <row r="513" spans="1:25" ht="14.25" customHeight="1" x14ac:dyDescent="0.15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</row>
    <row r="514" spans="1:25" ht="14.25" customHeight="1" x14ac:dyDescent="0.15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</row>
    <row r="515" spans="1:25" ht="14.25" customHeight="1" x14ac:dyDescent="0.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</row>
    <row r="516" spans="1:25" ht="14.25" customHeight="1" x14ac:dyDescent="0.15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</row>
    <row r="517" spans="1:25" ht="14.25" customHeight="1" x14ac:dyDescent="0.15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</row>
    <row r="518" spans="1:25" ht="14.25" customHeight="1" x14ac:dyDescent="0.15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</row>
    <row r="519" spans="1:25" ht="14.25" customHeight="1" x14ac:dyDescent="0.15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</row>
    <row r="520" spans="1:25" ht="14.25" customHeight="1" x14ac:dyDescent="0.15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</row>
    <row r="521" spans="1:25" ht="14.25" customHeight="1" x14ac:dyDescent="0.15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</row>
    <row r="522" spans="1:25" ht="14.25" customHeight="1" x14ac:dyDescent="0.15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</row>
    <row r="523" spans="1:25" ht="14.25" customHeight="1" x14ac:dyDescent="0.15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</row>
    <row r="524" spans="1:25" ht="14.25" customHeight="1" x14ac:dyDescent="0.15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</row>
    <row r="525" spans="1:25" ht="14.25" customHeight="1" x14ac:dyDescent="0.1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</row>
    <row r="526" spans="1:25" ht="14.25" customHeight="1" x14ac:dyDescent="0.15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</row>
    <row r="527" spans="1:25" ht="14.25" customHeight="1" x14ac:dyDescent="0.15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</row>
    <row r="528" spans="1:25" ht="14.25" customHeight="1" x14ac:dyDescent="0.15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</row>
    <row r="529" spans="1:25" ht="14.25" customHeight="1" x14ac:dyDescent="0.15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</row>
    <row r="530" spans="1:25" ht="14.25" customHeight="1" x14ac:dyDescent="0.15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</row>
    <row r="531" spans="1:25" ht="14.25" customHeight="1" x14ac:dyDescent="0.15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</row>
    <row r="532" spans="1:25" ht="14.25" customHeight="1" x14ac:dyDescent="0.15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</row>
    <row r="533" spans="1:25" ht="14.25" customHeight="1" x14ac:dyDescent="0.15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</row>
    <row r="534" spans="1:25" ht="14.25" customHeight="1" x14ac:dyDescent="0.15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</row>
    <row r="535" spans="1:25" ht="14.25" customHeight="1" x14ac:dyDescent="0.1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</row>
    <row r="536" spans="1:25" ht="14.25" customHeight="1" x14ac:dyDescent="0.15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</row>
    <row r="537" spans="1:25" ht="14.25" customHeight="1" x14ac:dyDescent="0.15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</row>
    <row r="538" spans="1:25" ht="14.25" customHeight="1" x14ac:dyDescent="0.15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</row>
    <row r="539" spans="1:25" ht="14.25" customHeight="1" x14ac:dyDescent="0.15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</row>
    <row r="540" spans="1:25" ht="14.25" customHeight="1" x14ac:dyDescent="0.15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</row>
    <row r="541" spans="1:25" ht="14.25" customHeight="1" x14ac:dyDescent="0.15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</row>
    <row r="542" spans="1:25" ht="14.25" customHeight="1" x14ac:dyDescent="0.15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</row>
    <row r="543" spans="1:25" ht="14.25" customHeight="1" x14ac:dyDescent="0.15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</row>
    <row r="544" spans="1:25" ht="14.25" customHeight="1" x14ac:dyDescent="0.15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</row>
    <row r="545" spans="1:25" ht="14.25" customHeight="1" x14ac:dyDescent="0.1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</row>
    <row r="546" spans="1:25" ht="14.25" customHeight="1" x14ac:dyDescent="0.15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</row>
    <row r="547" spans="1:25" ht="14.25" customHeight="1" x14ac:dyDescent="0.15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</row>
    <row r="548" spans="1:25" ht="14.25" customHeight="1" x14ac:dyDescent="0.15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</row>
    <row r="549" spans="1:25" ht="14.25" customHeight="1" x14ac:dyDescent="0.15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</row>
    <row r="550" spans="1:25" ht="14.25" customHeight="1" x14ac:dyDescent="0.15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</row>
    <row r="551" spans="1:25" ht="14.25" customHeight="1" x14ac:dyDescent="0.15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</row>
    <row r="552" spans="1:25" ht="14.25" customHeight="1" x14ac:dyDescent="0.15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</row>
    <row r="553" spans="1:25" ht="14.25" customHeight="1" x14ac:dyDescent="0.15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</row>
    <row r="554" spans="1:25" ht="14.25" customHeight="1" x14ac:dyDescent="0.15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</row>
    <row r="555" spans="1:25" ht="14.25" customHeight="1" x14ac:dyDescent="0.1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</row>
    <row r="556" spans="1:25" ht="14.25" customHeight="1" x14ac:dyDescent="0.15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</row>
    <row r="557" spans="1:25" ht="14.25" customHeight="1" x14ac:dyDescent="0.15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</row>
    <row r="558" spans="1:25" ht="14.25" customHeight="1" x14ac:dyDescent="0.15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</row>
    <row r="559" spans="1:25" ht="14.25" customHeight="1" x14ac:dyDescent="0.15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</row>
    <row r="560" spans="1:25" ht="14.25" customHeight="1" x14ac:dyDescent="0.15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</row>
    <row r="561" spans="1:25" ht="14.25" customHeight="1" x14ac:dyDescent="0.15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</row>
    <row r="562" spans="1:25" ht="14.25" customHeight="1" x14ac:dyDescent="0.15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</row>
    <row r="563" spans="1:25" ht="14.25" customHeight="1" x14ac:dyDescent="0.15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</row>
    <row r="564" spans="1:25" ht="14.25" customHeight="1" x14ac:dyDescent="0.15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</row>
    <row r="565" spans="1:25" ht="14.25" customHeight="1" x14ac:dyDescent="0.1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</row>
    <row r="566" spans="1:25" ht="14.25" customHeight="1" x14ac:dyDescent="0.15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</row>
    <row r="567" spans="1:25" ht="14.25" customHeight="1" x14ac:dyDescent="0.15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</row>
    <row r="568" spans="1:25" ht="14.25" customHeight="1" x14ac:dyDescent="0.15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</row>
    <row r="569" spans="1:25" ht="14.25" customHeight="1" x14ac:dyDescent="0.15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</row>
    <row r="570" spans="1:25" ht="14.25" customHeight="1" x14ac:dyDescent="0.15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</row>
    <row r="571" spans="1:25" ht="14.25" customHeight="1" x14ac:dyDescent="0.15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</row>
    <row r="572" spans="1:25" ht="14.25" customHeight="1" x14ac:dyDescent="0.15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</row>
    <row r="573" spans="1:25" ht="14.25" customHeight="1" x14ac:dyDescent="0.15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</row>
    <row r="574" spans="1:25" ht="14.25" customHeight="1" x14ac:dyDescent="0.15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</row>
    <row r="575" spans="1:25" ht="14.25" customHeight="1" x14ac:dyDescent="0.1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</row>
    <row r="576" spans="1:25" ht="14.25" customHeight="1" x14ac:dyDescent="0.15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</row>
    <row r="577" spans="1:25" ht="14.25" customHeight="1" x14ac:dyDescent="0.15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</row>
    <row r="578" spans="1:25" ht="14.25" customHeight="1" x14ac:dyDescent="0.15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</row>
    <row r="579" spans="1:25" ht="15.75" customHeight="1" x14ac:dyDescent="0.15"/>
    <row r="580" spans="1:25" ht="15.75" customHeight="1" x14ac:dyDescent="0.15"/>
    <row r="581" spans="1:25" ht="15.75" customHeight="1" x14ac:dyDescent="0.15"/>
    <row r="582" spans="1:25" ht="15.75" customHeight="1" x14ac:dyDescent="0.15"/>
    <row r="583" spans="1:25" ht="15.75" customHeight="1" x14ac:dyDescent="0.15"/>
    <row r="584" spans="1:25" ht="15.75" customHeight="1" x14ac:dyDescent="0.15"/>
    <row r="585" spans="1:25" ht="15.75" customHeight="1" x14ac:dyDescent="0.15"/>
    <row r="586" spans="1:25" ht="15.75" customHeight="1" x14ac:dyDescent="0.15"/>
    <row r="587" spans="1:25" ht="15.75" customHeight="1" x14ac:dyDescent="0.15"/>
    <row r="588" spans="1:25" ht="15.75" customHeight="1" x14ac:dyDescent="0.15"/>
    <row r="589" spans="1:25" ht="15.75" customHeight="1" x14ac:dyDescent="0.15"/>
    <row r="590" spans="1:25" ht="15.75" customHeight="1" x14ac:dyDescent="0.15"/>
    <row r="591" spans="1:25" ht="15.75" customHeight="1" x14ac:dyDescent="0.15"/>
    <row r="592" spans="1:25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C8" sqref="C8"/>
    </sheetView>
  </sheetViews>
  <sheetFormatPr defaultColWidth="12.625" defaultRowHeight="15" customHeight="1" x14ac:dyDescent="0.15"/>
  <cols>
    <col min="1" max="1" width="9.8671875" customWidth="1"/>
    <col min="2" max="2" width="21.19140625" customWidth="1"/>
    <col min="3" max="3" width="14.8046875" customWidth="1"/>
    <col min="4" max="4" width="17.26953125" customWidth="1"/>
    <col min="5" max="5" width="14.22265625" customWidth="1"/>
    <col min="6" max="8" width="7.98046875" customWidth="1"/>
    <col min="9" max="26" width="7.69140625" customWidth="1"/>
  </cols>
  <sheetData>
    <row r="1" spans="1:26" ht="14.25" customHeight="1" x14ac:dyDescent="0.15">
      <c r="A1" s="70" t="s">
        <v>86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4.25" customHeight="1" x14ac:dyDescent="0.15">
      <c r="A2" s="71" t="s">
        <v>87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14.25" customHeight="1" x14ac:dyDescent="0.15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4.25" customHeight="1" x14ac:dyDescent="0.15">
      <c r="A4" s="70"/>
      <c r="B4" s="70"/>
      <c r="C4" s="70"/>
      <c r="D4" s="70"/>
      <c r="E4" s="70">
        <v>53022.06</v>
      </c>
      <c r="F4" s="70">
        <v>23100</v>
      </c>
      <c r="G4" s="70"/>
      <c r="H4" s="70">
        <v>22162</v>
      </c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14.25" customHeight="1" x14ac:dyDescent="0.15">
      <c r="A5" s="70" t="s">
        <v>88</v>
      </c>
      <c r="B5" s="70"/>
      <c r="C5" s="70"/>
      <c r="D5" s="70"/>
      <c r="E5" s="70">
        <v>5302.18</v>
      </c>
      <c r="F5" s="70">
        <v>11875</v>
      </c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14.25" customHeight="1" x14ac:dyDescent="0.15">
      <c r="A6" s="71" t="s">
        <v>89</v>
      </c>
      <c r="B6" s="70"/>
      <c r="C6" s="70"/>
      <c r="D6" s="70"/>
      <c r="E6" s="70"/>
      <c r="F6" s="70">
        <v>1187.5</v>
      </c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4.25" customHeight="1" x14ac:dyDescent="0.15">
      <c r="A7" s="70"/>
      <c r="B7" s="70"/>
      <c r="C7" s="70"/>
      <c r="D7" s="70"/>
      <c r="E7" s="70">
        <v>65100</v>
      </c>
      <c r="F7" s="70">
        <v>23837.8</v>
      </c>
      <c r="G7" s="70"/>
      <c r="H7" s="70">
        <v>31734</v>
      </c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14.25" customHeight="1" x14ac:dyDescent="0.15">
      <c r="A8" s="70" t="s">
        <v>90</v>
      </c>
      <c r="B8" s="70"/>
      <c r="C8" s="81">
        <v>2599190</v>
      </c>
      <c r="D8" s="70"/>
      <c r="E8" s="70">
        <v>6509.8</v>
      </c>
      <c r="F8" s="70">
        <v>14580</v>
      </c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14.25" customHeight="1" x14ac:dyDescent="0.15">
      <c r="A9" s="70" t="s">
        <v>91</v>
      </c>
      <c r="B9" s="70"/>
      <c r="C9" s="82">
        <v>3.2500000000000001E-2</v>
      </c>
      <c r="D9" s="70"/>
      <c r="E9" s="70"/>
      <c r="F9" s="70">
        <v>1458</v>
      </c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6" ht="14.25" customHeight="1" x14ac:dyDescent="0.15">
      <c r="A10" s="70" t="s">
        <v>92</v>
      </c>
      <c r="B10" s="70"/>
      <c r="C10" s="83">
        <v>360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14.25" customHeight="1" x14ac:dyDescent="0.1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4.25" customHeight="1" x14ac:dyDescent="0.15">
      <c r="A12" s="70" t="s">
        <v>108</v>
      </c>
      <c r="B12" s="70"/>
      <c r="C12" s="76">
        <f>ROUND(PMT(C9*14/365,C10,-C8),2)</f>
        <v>8965.2099999999991</v>
      </c>
      <c r="D12" s="70" t="s">
        <v>94</v>
      </c>
      <c r="E12" s="76">
        <f>C12*C10-C8</f>
        <v>628285.59999999963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14.25" customHeight="1" x14ac:dyDescent="0.15">
      <c r="A13" s="70" t="s">
        <v>95</v>
      </c>
      <c r="B13" s="70"/>
      <c r="C13" s="77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14.25" customHeight="1" x14ac:dyDescent="0.15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14.25" customHeight="1" x14ac:dyDescent="0.15">
      <c r="A15" s="70" t="s">
        <v>96</v>
      </c>
      <c r="B15" s="70" t="s">
        <v>97</v>
      </c>
      <c r="C15" s="70" t="s">
        <v>97</v>
      </c>
      <c r="D15" s="70" t="s">
        <v>98</v>
      </c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14.25" customHeight="1" x14ac:dyDescent="0.15">
      <c r="A16" s="70" t="s">
        <v>99</v>
      </c>
      <c r="B16" s="70" t="s">
        <v>100</v>
      </c>
      <c r="C16" s="70" t="s">
        <v>101</v>
      </c>
      <c r="D16" s="70" t="s">
        <v>102</v>
      </c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14.25" customHeight="1" x14ac:dyDescent="0.15">
      <c r="A17" s="70" t="s">
        <v>103</v>
      </c>
      <c r="B17" s="79" t="s">
        <v>104</v>
      </c>
      <c r="C17" s="79" t="s">
        <v>105</v>
      </c>
      <c r="D17" s="79" t="s">
        <v>106</v>
      </c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14.25" customHeight="1" x14ac:dyDescent="0.15">
      <c r="A18" s="70" t="s">
        <v>107</v>
      </c>
      <c r="B18" s="70" t="s">
        <v>107</v>
      </c>
      <c r="C18" s="70" t="s">
        <v>107</v>
      </c>
      <c r="D18" s="70" t="s">
        <v>107</v>
      </c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14.25" customHeight="1" x14ac:dyDescent="0.15">
      <c r="A19" s="70">
        <v>1</v>
      </c>
      <c r="B19" s="80">
        <f>C8*$C$9/26</f>
        <v>3248.9875000000002</v>
      </c>
      <c r="C19" s="76">
        <f>C12-B19</f>
        <v>5716.2224999999989</v>
      </c>
      <c r="D19" s="76">
        <f>C8-C19</f>
        <v>2593473.7774999999</v>
      </c>
      <c r="E19" s="70">
        <f t="shared" ref="E19:E70" si="0">D19/2*2.375%</f>
        <v>30797.501107812499</v>
      </c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14.25" customHeight="1" x14ac:dyDescent="0.15">
      <c r="A20" s="70">
        <v>2</v>
      </c>
      <c r="B20" s="80">
        <f t="shared" ref="B20:B798" si="1">D19*$C$9/26</f>
        <v>3241.8422218750002</v>
      </c>
      <c r="C20" s="76">
        <f>C12-B20</f>
        <v>5723.3677781249989</v>
      </c>
      <c r="D20" s="76">
        <f t="shared" ref="D20:D798" si="2">D19-C20</f>
        <v>2587750.4097218746</v>
      </c>
      <c r="E20" s="70">
        <f t="shared" si="0"/>
        <v>30729.536115447263</v>
      </c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14.25" customHeight="1" x14ac:dyDescent="0.15">
      <c r="A21" s="70">
        <v>3</v>
      </c>
      <c r="B21" s="80">
        <f t="shared" si="1"/>
        <v>3234.6880121523432</v>
      </c>
      <c r="C21" s="76">
        <f>C12-B21</f>
        <v>5730.5219878476564</v>
      </c>
      <c r="D21" s="76">
        <f t="shared" si="2"/>
        <v>2582019.8877340271</v>
      </c>
      <c r="E21" s="70">
        <f t="shared" si="0"/>
        <v>30661.486166841572</v>
      </c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14.25" customHeight="1" x14ac:dyDescent="0.15">
      <c r="A22" s="70">
        <v>4</v>
      </c>
      <c r="B22" s="80">
        <f t="shared" si="1"/>
        <v>3227.5248596675342</v>
      </c>
      <c r="C22" s="76">
        <f>C12-B22</f>
        <v>5737.6851403324654</v>
      </c>
      <c r="D22" s="76">
        <f t="shared" si="2"/>
        <v>2576282.2025936944</v>
      </c>
      <c r="E22" s="70">
        <f t="shared" si="0"/>
        <v>30593.351155800123</v>
      </c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14.25" customHeight="1" x14ac:dyDescent="0.15">
      <c r="A23" s="70">
        <v>5</v>
      </c>
      <c r="B23" s="80">
        <f t="shared" si="1"/>
        <v>3220.3527532421181</v>
      </c>
      <c r="C23" s="76">
        <f>C12-B23</f>
        <v>5744.8572467578815</v>
      </c>
      <c r="D23" s="76">
        <f t="shared" si="2"/>
        <v>2570537.3453469365</v>
      </c>
      <c r="E23" s="70">
        <f t="shared" si="0"/>
        <v>30525.130975994871</v>
      </c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14.25" customHeight="1" x14ac:dyDescent="0.15">
      <c r="A24" s="70">
        <v>6</v>
      </c>
      <c r="B24" s="80">
        <f t="shared" si="1"/>
        <v>3213.1716816836706</v>
      </c>
      <c r="C24" s="76">
        <f>C12-B24</f>
        <v>5752.0383183163285</v>
      </c>
      <c r="D24" s="76">
        <f t="shared" si="2"/>
        <v>2564785.30702862</v>
      </c>
      <c r="E24" s="70">
        <f t="shared" si="0"/>
        <v>30456.825520964863</v>
      </c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14.25" customHeight="1" x14ac:dyDescent="0.15">
      <c r="A25" s="70">
        <v>7</v>
      </c>
      <c r="B25" s="80">
        <f t="shared" si="1"/>
        <v>3205.9816337857751</v>
      </c>
      <c r="C25" s="76">
        <f>C12-B25</f>
        <v>5759.2283662142236</v>
      </c>
      <c r="D25" s="76">
        <f t="shared" si="2"/>
        <v>2559026.0786624057</v>
      </c>
      <c r="E25" s="70">
        <f t="shared" si="0"/>
        <v>30388.43468411607</v>
      </c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14.25" customHeight="1" x14ac:dyDescent="0.15">
      <c r="A26" s="70">
        <v>8</v>
      </c>
      <c r="B26" s="80">
        <f t="shared" si="1"/>
        <v>3198.7825983280072</v>
      </c>
      <c r="C26" s="76">
        <f>C12-B26</f>
        <v>5766.4274016719919</v>
      </c>
      <c r="D26" s="76">
        <f t="shared" si="2"/>
        <v>2553259.6512607336</v>
      </c>
      <c r="E26" s="70">
        <f t="shared" si="0"/>
        <v>30319.958358721211</v>
      </c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14.25" customHeight="1" x14ac:dyDescent="0.15">
      <c r="A27" s="70">
        <v>9</v>
      </c>
      <c r="B27" s="80">
        <f t="shared" si="1"/>
        <v>3191.5745640759174</v>
      </c>
      <c r="C27" s="76">
        <f>C12-B27</f>
        <v>5773.6354359240813</v>
      </c>
      <c r="D27" s="76">
        <f t="shared" si="2"/>
        <v>2547486.0158248097</v>
      </c>
      <c r="E27" s="70">
        <f t="shared" si="0"/>
        <v>30251.396437919615</v>
      </c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4.25" customHeight="1" x14ac:dyDescent="0.15">
      <c r="A28" s="70">
        <v>10</v>
      </c>
      <c r="B28" s="80">
        <f t="shared" si="1"/>
        <v>3184.3575197810123</v>
      </c>
      <c r="C28" s="76">
        <f>C12-B28</f>
        <v>5780.8524802189868</v>
      </c>
      <c r="D28" s="76">
        <f t="shared" si="2"/>
        <v>2541705.1633445905</v>
      </c>
      <c r="E28" s="70">
        <f t="shared" si="0"/>
        <v>30182.748814717012</v>
      </c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4.25" customHeight="1" x14ac:dyDescent="0.15">
      <c r="A29" s="70">
        <v>11</v>
      </c>
      <c r="B29" s="80">
        <f t="shared" si="1"/>
        <v>3177.1314541807378</v>
      </c>
      <c r="C29" s="76">
        <f>C12-B29</f>
        <v>5788.0785458192613</v>
      </c>
      <c r="D29" s="76">
        <f t="shared" si="2"/>
        <v>2535917.0847987714</v>
      </c>
      <c r="E29" s="70">
        <f t="shared" si="0"/>
        <v>30114.015381985409</v>
      </c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4.25" customHeight="1" x14ac:dyDescent="0.15">
      <c r="A30" s="70">
        <v>12</v>
      </c>
      <c r="B30" s="80">
        <f t="shared" si="1"/>
        <v>3169.8963559984645</v>
      </c>
      <c r="C30" s="76">
        <f>C12-B30</f>
        <v>5795.3136440015351</v>
      </c>
      <c r="D30" s="76">
        <f t="shared" si="2"/>
        <v>2530121.7711547697</v>
      </c>
      <c r="E30" s="70">
        <f t="shared" si="0"/>
        <v>30045.196032462889</v>
      </c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14.25" customHeight="1" x14ac:dyDescent="0.15">
      <c r="A31" s="70">
        <v>13</v>
      </c>
      <c r="B31" s="80">
        <f t="shared" si="1"/>
        <v>3162.6522139434624</v>
      </c>
      <c r="C31" s="76">
        <f>C12-B31</f>
        <v>5802.5577860565372</v>
      </c>
      <c r="D31" s="76">
        <f t="shared" si="2"/>
        <v>2524319.2133687134</v>
      </c>
      <c r="E31" s="70">
        <f t="shared" si="0"/>
        <v>29976.290658753471</v>
      </c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4.25" customHeight="1" x14ac:dyDescent="0.15">
      <c r="A32" s="70">
        <v>14</v>
      </c>
      <c r="B32" s="80">
        <f t="shared" si="1"/>
        <v>3155.3990167108923</v>
      </c>
      <c r="C32" s="76">
        <f>C12-B32</f>
        <v>5809.8109832891068</v>
      </c>
      <c r="D32" s="76">
        <f t="shared" si="2"/>
        <v>2518509.4023854244</v>
      </c>
      <c r="E32" s="70">
        <f t="shared" si="0"/>
        <v>29907.299153326916</v>
      </c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4.25" customHeight="1" x14ac:dyDescent="0.15">
      <c r="A33" s="70">
        <v>15</v>
      </c>
      <c r="B33" s="80">
        <f t="shared" si="1"/>
        <v>3148.1367529817803</v>
      </c>
      <c r="C33" s="76">
        <f>C12-B33</f>
        <v>5817.0732470182193</v>
      </c>
      <c r="D33" s="76">
        <f t="shared" si="2"/>
        <v>2512692.3291384061</v>
      </c>
      <c r="E33" s="70">
        <f t="shared" si="0"/>
        <v>29838.221408518573</v>
      </c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4.25" customHeight="1" x14ac:dyDescent="0.15">
      <c r="A34" s="70">
        <v>16</v>
      </c>
      <c r="B34" s="80">
        <f t="shared" si="1"/>
        <v>3140.865411423008</v>
      </c>
      <c r="C34" s="76">
        <f>C12-B34</f>
        <v>5824.3445885769906</v>
      </c>
      <c r="D34" s="76">
        <f t="shared" si="2"/>
        <v>2506867.9845498293</v>
      </c>
      <c r="E34" s="70">
        <f t="shared" si="0"/>
        <v>29769.057316529223</v>
      </c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4.25" customHeight="1" x14ac:dyDescent="0.15">
      <c r="A35" s="70">
        <v>17</v>
      </c>
      <c r="B35" s="80">
        <f t="shared" si="1"/>
        <v>3133.5849806872866</v>
      </c>
      <c r="C35" s="76">
        <f>C12-B35</f>
        <v>5831.6250193127125</v>
      </c>
      <c r="D35" s="76">
        <f t="shared" si="2"/>
        <v>2501036.3595305164</v>
      </c>
      <c r="E35" s="70">
        <f t="shared" si="0"/>
        <v>29699.806769424882</v>
      </c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4.25" customHeight="1" x14ac:dyDescent="0.15">
      <c r="A36" s="70">
        <v>18</v>
      </c>
      <c r="B36" s="80">
        <f t="shared" si="1"/>
        <v>3126.2954494131459</v>
      </c>
      <c r="C36" s="76">
        <f>C12-B36</f>
        <v>5838.9145505868528</v>
      </c>
      <c r="D36" s="76">
        <f t="shared" si="2"/>
        <v>2495197.4449799294</v>
      </c>
      <c r="E36" s="70">
        <f t="shared" si="0"/>
        <v>29630.469659136663</v>
      </c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4.25" customHeight="1" x14ac:dyDescent="0.15">
      <c r="A37" s="70">
        <v>19</v>
      </c>
      <c r="B37" s="80">
        <f t="shared" si="1"/>
        <v>3118.9968062249118</v>
      </c>
      <c r="C37" s="76">
        <f>C12-B37</f>
        <v>5846.2131937750873</v>
      </c>
      <c r="D37" s="76">
        <f t="shared" si="2"/>
        <v>2489351.2317861542</v>
      </c>
      <c r="E37" s="70">
        <f t="shared" si="0"/>
        <v>29561.045877460583</v>
      </c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4.25" customHeight="1" x14ac:dyDescent="0.15">
      <c r="A38" s="70">
        <v>20</v>
      </c>
      <c r="B38" s="80">
        <f t="shared" si="1"/>
        <v>3111.6890397326929</v>
      </c>
      <c r="C38" s="76">
        <f>C12-B38</f>
        <v>5853.5209602673058</v>
      </c>
      <c r="D38" s="76">
        <f t="shared" si="2"/>
        <v>2483497.710825887</v>
      </c>
      <c r="E38" s="70">
        <f t="shared" si="0"/>
        <v>29491.535316057409</v>
      </c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4.25" customHeight="1" x14ac:dyDescent="0.15">
      <c r="A39" s="70">
        <v>21</v>
      </c>
      <c r="B39" s="80">
        <f t="shared" si="1"/>
        <v>3104.3721385323588</v>
      </c>
      <c r="C39" s="76">
        <f>C12-B39</f>
        <v>5860.8378614676403</v>
      </c>
      <c r="D39" s="76">
        <f t="shared" si="2"/>
        <v>2477636.8729644194</v>
      </c>
      <c r="E39" s="70">
        <f t="shared" si="0"/>
        <v>29421.937866452481</v>
      </c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4.25" customHeight="1" x14ac:dyDescent="0.15">
      <c r="A40" s="70">
        <v>22</v>
      </c>
      <c r="B40" s="80">
        <f t="shared" si="1"/>
        <v>3097.0460912055246</v>
      </c>
      <c r="C40" s="76">
        <f>C12-B40</f>
        <v>5868.163908794475</v>
      </c>
      <c r="D40" s="76">
        <f t="shared" si="2"/>
        <v>2471768.7090556249</v>
      </c>
      <c r="E40" s="70">
        <f t="shared" si="0"/>
        <v>29352.253420035548</v>
      </c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4.25" customHeight="1" x14ac:dyDescent="0.15">
      <c r="A41" s="70">
        <v>23</v>
      </c>
      <c r="B41" s="80">
        <f t="shared" si="1"/>
        <v>3089.7108863195313</v>
      </c>
      <c r="C41" s="76">
        <f>C12-B41</f>
        <v>5875.4991136804674</v>
      </c>
      <c r="D41" s="76">
        <f t="shared" si="2"/>
        <v>2465893.2099419446</v>
      </c>
      <c r="E41" s="70">
        <f t="shared" si="0"/>
        <v>29282.481868060593</v>
      </c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4.25" customHeight="1" x14ac:dyDescent="0.15">
      <c r="A42" s="70">
        <v>24</v>
      </c>
      <c r="B42" s="80">
        <f t="shared" si="1"/>
        <v>3082.3665124274307</v>
      </c>
      <c r="C42" s="76">
        <f>C12-B42</f>
        <v>5882.8434875725688</v>
      </c>
      <c r="D42" s="76">
        <f t="shared" si="2"/>
        <v>2460010.3664543722</v>
      </c>
      <c r="E42" s="70">
        <f t="shared" si="0"/>
        <v>29212.62310164567</v>
      </c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4.25" customHeight="1" x14ac:dyDescent="0.15">
      <c r="A43" s="70">
        <v>25</v>
      </c>
      <c r="B43" s="80">
        <f t="shared" si="1"/>
        <v>3075.012958067965</v>
      </c>
      <c r="C43" s="76">
        <f>C12-B43</f>
        <v>5890.1970419320342</v>
      </c>
      <c r="D43" s="76">
        <f t="shared" si="2"/>
        <v>2454120.1694124402</v>
      </c>
      <c r="E43" s="70">
        <f t="shared" si="0"/>
        <v>29142.677011772728</v>
      </c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4.25" customHeight="1" x14ac:dyDescent="0.15">
      <c r="A44" s="70">
        <v>26</v>
      </c>
      <c r="B44" s="80">
        <f t="shared" si="1"/>
        <v>3067.65021176555</v>
      </c>
      <c r="C44" s="76">
        <f>C12-B44</f>
        <v>5897.5597882344491</v>
      </c>
      <c r="D44" s="76">
        <f t="shared" si="2"/>
        <v>2448222.6096242056</v>
      </c>
      <c r="E44" s="70">
        <f t="shared" si="0"/>
        <v>29072.643489287442</v>
      </c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4.25" customHeight="1" x14ac:dyDescent="0.15">
      <c r="A45" s="70">
        <v>27</v>
      </c>
      <c r="B45" s="80">
        <f t="shared" si="1"/>
        <v>3060.2782620302573</v>
      </c>
      <c r="C45" s="76">
        <f>C12-B45</f>
        <v>5904.9317379697422</v>
      </c>
      <c r="D45" s="76">
        <f t="shared" si="2"/>
        <v>2442317.677886236</v>
      </c>
      <c r="E45" s="70">
        <f t="shared" si="0"/>
        <v>29002.522424899053</v>
      </c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4.25" customHeight="1" x14ac:dyDescent="0.15">
      <c r="A46" s="70">
        <v>28</v>
      </c>
      <c r="B46" s="80">
        <f t="shared" si="1"/>
        <v>3052.8970973577952</v>
      </c>
      <c r="C46" s="76">
        <f>C12-B46</f>
        <v>5912.3129026422039</v>
      </c>
      <c r="D46" s="76">
        <f t="shared" si="2"/>
        <v>2436405.3649835936</v>
      </c>
      <c r="E46" s="70">
        <f t="shared" si="0"/>
        <v>28932.313709180173</v>
      </c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4.25" customHeight="1" x14ac:dyDescent="0.15">
      <c r="A47" s="70">
        <v>29</v>
      </c>
      <c r="B47" s="80">
        <f t="shared" si="1"/>
        <v>3045.506706229492</v>
      </c>
      <c r="C47" s="76">
        <f>C12-B47</f>
        <v>5919.7032937705071</v>
      </c>
      <c r="D47" s="76">
        <f t="shared" si="2"/>
        <v>2430485.661689823</v>
      </c>
      <c r="E47" s="70">
        <f t="shared" si="0"/>
        <v>28862.01723256665</v>
      </c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4.25" customHeight="1" x14ac:dyDescent="0.15">
      <c r="A48" s="70">
        <v>30</v>
      </c>
      <c r="B48" s="80">
        <f t="shared" si="1"/>
        <v>3038.1070771122786</v>
      </c>
      <c r="C48" s="76">
        <f>C12-B48</f>
        <v>5927.1029228877205</v>
      </c>
      <c r="D48" s="76">
        <f t="shared" si="2"/>
        <v>2424558.5587669355</v>
      </c>
      <c r="E48" s="70">
        <f t="shared" si="0"/>
        <v>28791.632885357358</v>
      </c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4.25" customHeight="1" x14ac:dyDescent="0.15">
      <c r="A49" s="70">
        <v>31</v>
      </c>
      <c r="B49" s="80">
        <f t="shared" si="1"/>
        <v>3030.6981984586696</v>
      </c>
      <c r="C49" s="76">
        <f>C12-B49</f>
        <v>5934.51180154133</v>
      </c>
      <c r="D49" s="76">
        <f t="shared" si="2"/>
        <v>2418624.0469653942</v>
      </c>
      <c r="E49" s="70">
        <f t="shared" si="0"/>
        <v>28721.160557714054</v>
      </c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4.25" customHeight="1" x14ac:dyDescent="0.15">
      <c r="A50" s="70">
        <v>32</v>
      </c>
      <c r="B50" s="80">
        <f t="shared" si="1"/>
        <v>3023.2800587067427</v>
      </c>
      <c r="C50" s="76">
        <f>C12-B50</f>
        <v>5941.929941293256</v>
      </c>
      <c r="D50" s="76">
        <f t="shared" si="2"/>
        <v>2412682.1170241009</v>
      </c>
      <c r="E50" s="70">
        <f t="shared" si="0"/>
        <v>28650.600139661197</v>
      </c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4.25" customHeight="1" x14ac:dyDescent="0.15">
      <c r="A51" s="70">
        <v>33</v>
      </c>
      <c r="B51" s="80">
        <f t="shared" si="1"/>
        <v>3015.852646280126</v>
      </c>
      <c r="C51" s="76">
        <f>C12-B51</f>
        <v>5949.3573537198736</v>
      </c>
      <c r="D51" s="76">
        <f t="shared" si="2"/>
        <v>2406732.759670381</v>
      </c>
      <c r="E51" s="70">
        <f t="shared" si="0"/>
        <v>28579.951521085775</v>
      </c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4.25" customHeight="1" x14ac:dyDescent="0.15">
      <c r="A52" s="70">
        <v>34</v>
      </c>
      <c r="B52" s="80">
        <f t="shared" si="1"/>
        <v>3008.4159495879762</v>
      </c>
      <c r="C52" s="76">
        <f>C12-B52</f>
        <v>5956.7940504120234</v>
      </c>
      <c r="D52" s="76">
        <f t="shared" si="2"/>
        <v>2400775.9656199687</v>
      </c>
      <c r="E52" s="70">
        <f t="shared" si="0"/>
        <v>28509.214591737127</v>
      </c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4.25" customHeight="1" x14ac:dyDescent="0.15">
      <c r="A53" s="70">
        <v>35</v>
      </c>
      <c r="B53" s="80">
        <f t="shared" si="1"/>
        <v>3000.9699570249609</v>
      </c>
      <c r="C53" s="76">
        <f>C12-B53</f>
        <v>5964.2400429750378</v>
      </c>
      <c r="D53" s="76">
        <f t="shared" si="2"/>
        <v>2394811.7255769935</v>
      </c>
      <c r="E53" s="70">
        <f t="shared" si="0"/>
        <v>28438.3892412268</v>
      </c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4.25" customHeight="1" x14ac:dyDescent="0.15">
      <c r="A54" s="70">
        <v>36</v>
      </c>
      <c r="B54" s="80">
        <f t="shared" si="1"/>
        <v>2993.5146569712419</v>
      </c>
      <c r="C54" s="76">
        <f>C12-B54</f>
        <v>5971.6953430287576</v>
      </c>
      <c r="D54" s="76">
        <f t="shared" si="2"/>
        <v>2388840.0302339648</v>
      </c>
      <c r="E54" s="70">
        <f t="shared" si="0"/>
        <v>28367.475359028333</v>
      </c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4.25" customHeight="1" x14ac:dyDescent="0.15">
      <c r="A55" s="70">
        <v>37</v>
      </c>
      <c r="B55" s="80">
        <f t="shared" si="1"/>
        <v>2986.0500377924564</v>
      </c>
      <c r="C55" s="76">
        <f>C12-B55</f>
        <v>5979.1599622075428</v>
      </c>
      <c r="D55" s="76">
        <f t="shared" si="2"/>
        <v>2382860.8702717572</v>
      </c>
      <c r="E55" s="70">
        <f t="shared" si="0"/>
        <v>28296.472834477117</v>
      </c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4.25" customHeight="1" x14ac:dyDescent="0.15">
      <c r="A56" s="70">
        <v>38</v>
      </c>
      <c r="B56" s="80">
        <f t="shared" si="1"/>
        <v>2978.5760878396968</v>
      </c>
      <c r="C56" s="76">
        <f>C12-B56</f>
        <v>5986.6339121603023</v>
      </c>
      <c r="D56" s="76">
        <f t="shared" si="2"/>
        <v>2376874.2363595967</v>
      </c>
      <c r="E56" s="70">
        <f t="shared" si="0"/>
        <v>28225.381556770211</v>
      </c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4.25" customHeight="1" x14ac:dyDescent="0.15">
      <c r="A57" s="70">
        <v>39</v>
      </c>
      <c r="B57" s="80">
        <f t="shared" si="1"/>
        <v>2971.092795449496</v>
      </c>
      <c r="C57" s="76">
        <f>C12-B57</f>
        <v>5994.1172045505027</v>
      </c>
      <c r="D57" s="76">
        <f t="shared" si="2"/>
        <v>2370880.1191550461</v>
      </c>
      <c r="E57" s="70">
        <f t="shared" si="0"/>
        <v>28154.201414966174</v>
      </c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4.25" customHeight="1" x14ac:dyDescent="0.15">
      <c r="A58" s="70">
        <v>40</v>
      </c>
      <c r="B58" s="80">
        <f t="shared" si="1"/>
        <v>2963.6001489438077</v>
      </c>
      <c r="C58" s="76">
        <f>C12-B58</f>
        <v>6001.6098510561915</v>
      </c>
      <c r="D58" s="76">
        <f t="shared" si="2"/>
        <v>2364878.5093039898</v>
      </c>
      <c r="E58" s="70">
        <f t="shared" si="0"/>
        <v>28082.93229798488</v>
      </c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4.25" customHeight="1" x14ac:dyDescent="0.15">
      <c r="A59" s="70">
        <v>41</v>
      </c>
      <c r="B59" s="80">
        <f t="shared" si="1"/>
        <v>2956.0981366299875</v>
      </c>
      <c r="C59" s="76">
        <f>C12-B59</f>
        <v>6009.1118633700116</v>
      </c>
      <c r="D59" s="76">
        <f t="shared" si="2"/>
        <v>2358869.3974406198</v>
      </c>
      <c r="E59" s="70">
        <f t="shared" si="0"/>
        <v>28011.57409460736</v>
      </c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4.25" customHeight="1" x14ac:dyDescent="0.15">
      <c r="A60" s="70">
        <v>42</v>
      </c>
      <c r="B60" s="80">
        <f t="shared" si="1"/>
        <v>2948.586746800775</v>
      </c>
      <c r="C60" s="76">
        <f>C12-B60</f>
        <v>6016.6232531992246</v>
      </c>
      <c r="D60" s="76">
        <f t="shared" si="2"/>
        <v>2352852.7741874205</v>
      </c>
      <c r="E60" s="70">
        <f t="shared" si="0"/>
        <v>27940.12669347562</v>
      </c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4.25" customHeight="1" x14ac:dyDescent="0.15">
      <c r="A61" s="70">
        <v>43</v>
      </c>
      <c r="B61" s="80">
        <f t="shared" si="1"/>
        <v>2941.0659677342755</v>
      </c>
      <c r="C61" s="76">
        <f>C12-B61</f>
        <v>6024.1440322657236</v>
      </c>
      <c r="D61" s="76">
        <f t="shared" si="2"/>
        <v>2346828.630155155</v>
      </c>
      <c r="E61" s="70">
        <f t="shared" si="0"/>
        <v>27868.589983092465</v>
      </c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4.25" customHeight="1" x14ac:dyDescent="0.15">
      <c r="A62" s="70">
        <v>44</v>
      </c>
      <c r="B62" s="80">
        <f t="shared" si="1"/>
        <v>2933.5357876939443</v>
      </c>
      <c r="C62" s="76">
        <f>C12-B62</f>
        <v>6031.6742123060549</v>
      </c>
      <c r="D62" s="76">
        <f t="shared" si="2"/>
        <v>2340796.9559428487</v>
      </c>
      <c r="E62" s="70">
        <f t="shared" si="0"/>
        <v>27796.963851821329</v>
      </c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4.25" customHeight="1" x14ac:dyDescent="0.15">
      <c r="A63" s="70">
        <v>45</v>
      </c>
      <c r="B63" s="80">
        <f t="shared" si="1"/>
        <v>2925.9961949285612</v>
      </c>
      <c r="C63" s="76">
        <f>C12-B63</f>
        <v>6039.2138050714384</v>
      </c>
      <c r="D63" s="76">
        <f t="shared" si="2"/>
        <v>2334757.7421377772</v>
      </c>
      <c r="E63" s="70">
        <f t="shared" si="0"/>
        <v>27725.248187886104</v>
      </c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4.25" customHeight="1" x14ac:dyDescent="0.15">
      <c r="A64" s="70">
        <v>46</v>
      </c>
      <c r="B64" s="80">
        <f t="shared" si="1"/>
        <v>2918.4471776722212</v>
      </c>
      <c r="C64" s="76">
        <f>C12-B64</f>
        <v>6046.7628223277779</v>
      </c>
      <c r="D64" s="76">
        <f t="shared" si="2"/>
        <v>2328710.9793154495</v>
      </c>
      <c r="E64" s="70">
        <f t="shared" si="0"/>
        <v>27653.442879370963</v>
      </c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4.25" customHeight="1" x14ac:dyDescent="0.15">
      <c r="A65" s="70">
        <v>47</v>
      </c>
      <c r="B65" s="80">
        <f t="shared" si="1"/>
        <v>2910.8887241443122</v>
      </c>
      <c r="C65" s="76">
        <f>C12-B65</f>
        <v>6054.3212758556874</v>
      </c>
      <c r="D65" s="76">
        <f t="shared" si="2"/>
        <v>2322656.6580395936</v>
      </c>
      <c r="E65" s="70">
        <f t="shared" si="0"/>
        <v>27581.547814220175</v>
      </c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4.25" customHeight="1" x14ac:dyDescent="0.15">
      <c r="A66" s="70">
        <v>48</v>
      </c>
      <c r="B66" s="80">
        <f t="shared" si="1"/>
        <v>2903.3208225494918</v>
      </c>
      <c r="C66" s="76">
        <f>C12-B66</f>
        <v>6061.8891774505073</v>
      </c>
      <c r="D66" s="76">
        <f t="shared" si="2"/>
        <v>2316594.7688621432</v>
      </c>
      <c r="E66" s="70">
        <f t="shared" si="0"/>
        <v>27509.562880237951</v>
      </c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4.25" customHeight="1" x14ac:dyDescent="0.15">
      <c r="A67" s="70">
        <v>49</v>
      </c>
      <c r="B67" s="80">
        <f t="shared" si="1"/>
        <v>2895.7434610776791</v>
      </c>
      <c r="C67" s="76">
        <f>C12-B67</f>
        <v>6069.4665389223201</v>
      </c>
      <c r="D67" s="76">
        <f t="shared" si="2"/>
        <v>2310525.3023232208</v>
      </c>
      <c r="E67" s="70">
        <f t="shared" si="0"/>
        <v>27437.487965088247</v>
      </c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4.25" customHeight="1" x14ac:dyDescent="0.15">
      <c r="A68" s="70">
        <v>50</v>
      </c>
      <c r="B68" s="80">
        <f t="shared" si="1"/>
        <v>2888.1566279040262</v>
      </c>
      <c r="C68" s="76">
        <f>C12-B68</f>
        <v>6077.0533720959729</v>
      </c>
      <c r="D68" s="76">
        <f t="shared" si="2"/>
        <v>2304448.248951125</v>
      </c>
      <c r="E68" s="70">
        <f t="shared" si="0"/>
        <v>27365.322956294611</v>
      </c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4.25" customHeight="1" x14ac:dyDescent="0.15">
      <c r="A69" s="70">
        <v>51</v>
      </c>
      <c r="B69" s="80">
        <f t="shared" si="1"/>
        <v>2880.5603111889063</v>
      </c>
      <c r="C69" s="76">
        <f>C12-B69</f>
        <v>6084.6496888110923</v>
      </c>
      <c r="D69" s="76">
        <f t="shared" si="2"/>
        <v>2298363.5992623139</v>
      </c>
      <c r="E69" s="70">
        <f t="shared" si="0"/>
        <v>27293.067741239978</v>
      </c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4.25" customHeight="1" x14ac:dyDescent="0.15">
      <c r="A70" s="70">
        <v>52</v>
      </c>
      <c r="B70" s="80">
        <f t="shared" si="1"/>
        <v>2872.9544990778927</v>
      </c>
      <c r="C70" s="76">
        <f>C12-B70</f>
        <v>6092.2555009221069</v>
      </c>
      <c r="D70" s="76">
        <f t="shared" si="2"/>
        <v>2292271.3437613919</v>
      </c>
      <c r="E70" s="70">
        <f t="shared" si="0"/>
        <v>27220.722207166531</v>
      </c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4.25" customHeight="1" x14ac:dyDescent="0.15">
      <c r="A71" s="70">
        <v>53</v>
      </c>
      <c r="B71" s="80">
        <f t="shared" si="1"/>
        <v>2865.3391797017398</v>
      </c>
      <c r="C71" s="76">
        <f>C12-B71</f>
        <v>6099.8708202982598</v>
      </c>
      <c r="D71" s="76">
        <f t="shared" si="2"/>
        <v>2286171.4729410936</v>
      </c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4.25" customHeight="1" x14ac:dyDescent="0.15">
      <c r="A72" s="70">
        <v>54</v>
      </c>
      <c r="B72" s="80">
        <f t="shared" si="1"/>
        <v>2857.7143411763673</v>
      </c>
      <c r="C72" s="76">
        <f>C12-B72</f>
        <v>6107.4956588236319</v>
      </c>
      <c r="D72" s="76">
        <f t="shared" si="2"/>
        <v>2280063.9772822699</v>
      </c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4.25" customHeight="1" x14ac:dyDescent="0.15">
      <c r="A73" s="70">
        <v>55</v>
      </c>
      <c r="B73" s="80">
        <f t="shared" si="1"/>
        <v>2850.0799716028373</v>
      </c>
      <c r="C73" s="76">
        <f>C12-B73</f>
        <v>6115.1300283971614</v>
      </c>
      <c r="D73" s="76">
        <f t="shared" si="2"/>
        <v>2273948.8472538725</v>
      </c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4.25" customHeight="1" x14ac:dyDescent="0.15">
      <c r="A74" s="70">
        <v>56</v>
      </c>
      <c r="B74" s="80">
        <f t="shared" si="1"/>
        <v>2842.4360590673409</v>
      </c>
      <c r="C74" s="76">
        <f>C12-B74</f>
        <v>6122.7739409326587</v>
      </c>
      <c r="D74" s="76">
        <f t="shared" si="2"/>
        <v>2267826.0733129401</v>
      </c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4.25" customHeight="1" x14ac:dyDescent="0.15">
      <c r="A75" s="70">
        <v>57</v>
      </c>
      <c r="B75" s="80">
        <f t="shared" si="1"/>
        <v>2834.7825916411753</v>
      </c>
      <c r="C75" s="76">
        <f>C12-B75</f>
        <v>6130.4274083588243</v>
      </c>
      <c r="D75" s="76">
        <f t="shared" si="2"/>
        <v>2261695.6459045811</v>
      </c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4.25" customHeight="1" x14ac:dyDescent="0.15">
      <c r="A76" s="70">
        <v>58</v>
      </c>
      <c r="B76" s="80">
        <f t="shared" si="1"/>
        <v>2827.1195573807267</v>
      </c>
      <c r="C76" s="76">
        <f>C12-B76</f>
        <v>6138.0904426192719</v>
      </c>
      <c r="D76" s="76">
        <f t="shared" si="2"/>
        <v>2255557.5554619618</v>
      </c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4.25" customHeight="1" x14ac:dyDescent="0.15">
      <c r="A77" s="70">
        <v>59</v>
      </c>
      <c r="B77" s="80">
        <f t="shared" si="1"/>
        <v>2819.4469443274525</v>
      </c>
      <c r="C77" s="76">
        <f>C12-B77</f>
        <v>6145.7630556725471</v>
      </c>
      <c r="D77" s="76">
        <f t="shared" si="2"/>
        <v>2249411.7924062894</v>
      </c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4.25" customHeight="1" x14ac:dyDescent="0.15">
      <c r="A78" s="70">
        <v>60</v>
      </c>
      <c r="B78" s="80">
        <f t="shared" si="1"/>
        <v>2811.7647405078615</v>
      </c>
      <c r="C78" s="76">
        <f>C12-B78</f>
        <v>6153.4452594921377</v>
      </c>
      <c r="D78" s="76">
        <f t="shared" si="2"/>
        <v>2243258.3471467975</v>
      </c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4.25" customHeight="1" x14ac:dyDescent="0.15">
      <c r="A79" s="70">
        <v>61</v>
      </c>
      <c r="B79" s="80">
        <f t="shared" si="1"/>
        <v>2804.0729339334966</v>
      </c>
      <c r="C79" s="76">
        <f>C12-B79</f>
        <v>6161.1370660665025</v>
      </c>
      <c r="D79" s="76">
        <f t="shared" si="2"/>
        <v>2237097.2100807307</v>
      </c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4.25" customHeight="1" x14ac:dyDescent="0.15">
      <c r="A80" s="70">
        <v>62</v>
      </c>
      <c r="B80" s="80">
        <f t="shared" si="1"/>
        <v>2796.3715126009138</v>
      </c>
      <c r="C80" s="76">
        <f>C12-B80</f>
        <v>6168.8384873990854</v>
      </c>
      <c r="D80" s="76">
        <f t="shared" si="2"/>
        <v>2230928.3715933315</v>
      </c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4.25" customHeight="1" x14ac:dyDescent="0.15">
      <c r="A81" s="70">
        <v>63</v>
      </c>
      <c r="B81" s="80">
        <f t="shared" si="1"/>
        <v>2788.6604644916642</v>
      </c>
      <c r="C81" s="76">
        <f>C12-B81</f>
        <v>6176.5495355083349</v>
      </c>
      <c r="D81" s="76">
        <f t="shared" si="2"/>
        <v>2224751.8220578232</v>
      </c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4.25" customHeight="1" x14ac:dyDescent="0.15">
      <c r="A82" s="70">
        <v>64</v>
      </c>
      <c r="B82" s="80">
        <f t="shared" si="1"/>
        <v>2780.9397775722787</v>
      </c>
      <c r="C82" s="76">
        <f>C12-B82</f>
        <v>6184.27022242772</v>
      </c>
      <c r="D82" s="76">
        <f t="shared" si="2"/>
        <v>2218567.5518353954</v>
      </c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4.25" customHeight="1" x14ac:dyDescent="0.15">
      <c r="A83" s="70">
        <v>65</v>
      </c>
      <c r="B83" s="80">
        <f t="shared" si="1"/>
        <v>2773.2094397942442</v>
      </c>
      <c r="C83" s="76">
        <f>C12-B83</f>
        <v>6192.0005602057554</v>
      </c>
      <c r="D83" s="76">
        <f t="shared" si="2"/>
        <v>2212375.5512751895</v>
      </c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4.25" customHeight="1" x14ac:dyDescent="0.15">
      <c r="A84" s="70">
        <v>66</v>
      </c>
      <c r="B84" s="80">
        <f t="shared" si="1"/>
        <v>2765.4694390939867</v>
      </c>
      <c r="C84" s="76">
        <f>C12-B84</f>
        <v>6199.7405609060124</v>
      </c>
      <c r="D84" s="76">
        <f t="shared" si="2"/>
        <v>2206175.8107142835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4.25" customHeight="1" x14ac:dyDescent="0.15">
      <c r="A85" s="70">
        <v>67</v>
      </c>
      <c r="B85" s="80">
        <f t="shared" si="1"/>
        <v>2757.7197633928545</v>
      </c>
      <c r="C85" s="76">
        <f>C12-B85</f>
        <v>6207.4902366071447</v>
      </c>
      <c r="D85" s="76">
        <f t="shared" si="2"/>
        <v>2199968.3204776766</v>
      </c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4.25" customHeight="1" x14ac:dyDescent="0.15">
      <c r="A86" s="70">
        <v>68</v>
      </c>
      <c r="B86" s="80">
        <f t="shared" si="1"/>
        <v>2749.9604005970959</v>
      </c>
      <c r="C86" s="76">
        <f>C12-B86</f>
        <v>6215.2495994029032</v>
      </c>
      <c r="D86" s="76">
        <f t="shared" si="2"/>
        <v>2193753.0708782738</v>
      </c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4.25" customHeight="1" x14ac:dyDescent="0.15">
      <c r="A87" s="70">
        <v>69</v>
      </c>
      <c r="B87" s="80">
        <f t="shared" si="1"/>
        <v>2742.1913385978423</v>
      </c>
      <c r="C87" s="76">
        <f>C12-B87</f>
        <v>6223.0186614021568</v>
      </c>
      <c r="D87" s="76">
        <f t="shared" si="2"/>
        <v>2187530.0522168716</v>
      </c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4.25" customHeight="1" x14ac:dyDescent="0.15">
      <c r="A88" s="70">
        <v>70</v>
      </c>
      <c r="B88" s="80">
        <f t="shared" si="1"/>
        <v>2734.4125652710895</v>
      </c>
      <c r="C88" s="76">
        <f>C12-B88</f>
        <v>6230.7974347289091</v>
      </c>
      <c r="D88" s="76">
        <f t="shared" si="2"/>
        <v>2181299.2547821426</v>
      </c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4.25" customHeight="1" x14ac:dyDescent="0.15">
      <c r="A89" s="70">
        <v>71</v>
      </c>
      <c r="B89" s="80">
        <f t="shared" si="1"/>
        <v>2726.6240684776785</v>
      </c>
      <c r="C89" s="76">
        <f>C12-B89</f>
        <v>6238.5859315223206</v>
      </c>
      <c r="D89" s="76">
        <f t="shared" si="2"/>
        <v>2175060.6688506203</v>
      </c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4.25" customHeight="1" x14ac:dyDescent="0.15">
      <c r="A90" s="70">
        <v>72</v>
      </c>
      <c r="B90" s="80">
        <f t="shared" si="1"/>
        <v>2718.8258360632753</v>
      </c>
      <c r="C90" s="76">
        <f>C12-B90</f>
        <v>6246.3841639367238</v>
      </c>
      <c r="D90" s="76">
        <f t="shared" si="2"/>
        <v>2168814.2846866837</v>
      </c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4.25" customHeight="1" x14ac:dyDescent="0.15">
      <c r="A91" s="70">
        <v>73</v>
      </c>
      <c r="B91" s="80">
        <f t="shared" si="1"/>
        <v>2711.0178558583548</v>
      </c>
      <c r="C91" s="76">
        <f>C12-B91</f>
        <v>6254.1921441416443</v>
      </c>
      <c r="D91" s="76">
        <f t="shared" si="2"/>
        <v>2162560.0925425421</v>
      </c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4.25" customHeight="1" x14ac:dyDescent="0.15">
      <c r="A92" s="70">
        <v>74</v>
      </c>
      <c r="B92" s="80">
        <f t="shared" si="1"/>
        <v>2703.2001156781776</v>
      </c>
      <c r="C92" s="76">
        <f>C12-B92</f>
        <v>6262.009884321822</v>
      </c>
      <c r="D92" s="76">
        <f t="shared" si="2"/>
        <v>2156298.0826582205</v>
      </c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4.25" customHeight="1" x14ac:dyDescent="0.15">
      <c r="A93" s="70">
        <v>75</v>
      </c>
      <c r="B93" s="80">
        <f t="shared" si="1"/>
        <v>2695.3726033227754</v>
      </c>
      <c r="C93" s="76">
        <f>C12-B93</f>
        <v>6269.8373966772233</v>
      </c>
      <c r="D93" s="76">
        <f t="shared" si="2"/>
        <v>2150028.2452615434</v>
      </c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4.25" customHeight="1" x14ac:dyDescent="0.15">
      <c r="A94" s="70">
        <v>76</v>
      </c>
      <c r="B94" s="80">
        <f t="shared" si="1"/>
        <v>2687.5353065769295</v>
      </c>
      <c r="C94" s="76">
        <f>C12-B94</f>
        <v>6277.6746934230696</v>
      </c>
      <c r="D94" s="76">
        <f t="shared" si="2"/>
        <v>2143750.5705681206</v>
      </c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4.25" customHeight="1" x14ac:dyDescent="0.15">
      <c r="A95" s="70">
        <v>77</v>
      </c>
      <c r="B95" s="80">
        <f t="shared" si="1"/>
        <v>2679.6882132101509</v>
      </c>
      <c r="C95" s="76">
        <f>C12-B95</f>
        <v>6285.5217867898482</v>
      </c>
      <c r="D95" s="76">
        <f t="shared" si="2"/>
        <v>2137465.0487813307</v>
      </c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4.25" customHeight="1" x14ac:dyDescent="0.15">
      <c r="A96" s="70">
        <v>78</v>
      </c>
      <c r="B96" s="80">
        <f t="shared" si="1"/>
        <v>2671.8313109766632</v>
      </c>
      <c r="C96" s="76">
        <f>C12-B96</f>
        <v>6293.3786890233359</v>
      </c>
      <c r="D96" s="76">
        <f t="shared" si="2"/>
        <v>2131171.6700923075</v>
      </c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4.25" customHeight="1" x14ac:dyDescent="0.15">
      <c r="A97" s="70">
        <v>79</v>
      </c>
      <c r="B97" s="80">
        <f t="shared" si="1"/>
        <v>2663.9645876153841</v>
      </c>
      <c r="C97" s="76">
        <f>C12-B97</f>
        <v>6301.2454123846146</v>
      </c>
      <c r="D97" s="76">
        <f t="shared" si="2"/>
        <v>2124870.4246799229</v>
      </c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4.25" customHeight="1" x14ac:dyDescent="0.15">
      <c r="A98" s="70">
        <v>80</v>
      </c>
      <c r="B98" s="80">
        <f t="shared" si="1"/>
        <v>2656.0880308499036</v>
      </c>
      <c r="C98" s="76">
        <f>C12-B98</f>
        <v>6309.1219691500955</v>
      </c>
      <c r="D98" s="76">
        <f t="shared" si="2"/>
        <v>2118561.302710773</v>
      </c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4.25" customHeight="1" x14ac:dyDescent="0.15">
      <c r="A99" s="70">
        <v>81</v>
      </c>
      <c r="B99" s="80">
        <f t="shared" si="1"/>
        <v>2648.2016283884664</v>
      </c>
      <c r="C99" s="76">
        <f>C12-B99</f>
        <v>6317.0083716115332</v>
      </c>
      <c r="D99" s="76">
        <f t="shared" si="2"/>
        <v>2112244.2943391614</v>
      </c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4.25" customHeight="1" x14ac:dyDescent="0.15">
      <c r="A100" s="70">
        <v>82</v>
      </c>
      <c r="B100" s="80">
        <f t="shared" si="1"/>
        <v>2640.305367923952</v>
      </c>
      <c r="C100" s="76">
        <f>C12-B100</f>
        <v>6324.9046320760472</v>
      </c>
      <c r="D100" s="76">
        <f t="shared" si="2"/>
        <v>2105919.3897070852</v>
      </c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4.25" customHeight="1" x14ac:dyDescent="0.15">
      <c r="A101" s="70">
        <v>83</v>
      </c>
      <c r="B101" s="80">
        <f t="shared" si="1"/>
        <v>2632.3992371338563</v>
      </c>
      <c r="C101" s="76">
        <f>C12-B101</f>
        <v>6332.8107628661428</v>
      </c>
      <c r="D101" s="76">
        <f t="shared" si="2"/>
        <v>2099586.5789442193</v>
      </c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4.25" customHeight="1" x14ac:dyDescent="0.15">
      <c r="A102" s="70">
        <v>84</v>
      </c>
      <c r="B102" s="80">
        <f t="shared" si="1"/>
        <v>2624.483223680274</v>
      </c>
      <c r="C102" s="76">
        <f>C12-B102</f>
        <v>6340.7267763197251</v>
      </c>
      <c r="D102" s="76">
        <f t="shared" si="2"/>
        <v>2093245.8521678995</v>
      </c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4.25" customHeight="1" x14ac:dyDescent="0.15">
      <c r="A103" s="70">
        <v>85</v>
      </c>
      <c r="B103" s="80">
        <f t="shared" si="1"/>
        <v>2616.5573152098741</v>
      </c>
      <c r="C103" s="76">
        <f>C12-B103</f>
        <v>6348.652684790125</v>
      </c>
      <c r="D103" s="76">
        <f t="shared" si="2"/>
        <v>2086897.1994831094</v>
      </c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4.25" customHeight="1" x14ac:dyDescent="0.15">
      <c r="A104" s="70">
        <v>86</v>
      </c>
      <c r="B104" s="80">
        <f t="shared" si="1"/>
        <v>2608.621499353887</v>
      </c>
      <c r="C104" s="76">
        <f>C12-B104</f>
        <v>6356.5885006461122</v>
      </c>
      <c r="D104" s="76">
        <f t="shared" si="2"/>
        <v>2080540.6109824632</v>
      </c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4.25" customHeight="1" x14ac:dyDescent="0.15">
      <c r="A105" s="70">
        <v>87</v>
      </c>
      <c r="B105" s="80">
        <f t="shared" si="1"/>
        <v>2600.6757637280793</v>
      </c>
      <c r="C105" s="76">
        <f>C12-B105</f>
        <v>6364.5342362719202</v>
      </c>
      <c r="D105" s="76">
        <f t="shared" si="2"/>
        <v>2074176.0767461914</v>
      </c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4.25" customHeight="1" x14ac:dyDescent="0.15">
      <c r="A106" s="70">
        <v>88</v>
      </c>
      <c r="B106" s="80">
        <f t="shared" si="1"/>
        <v>2592.7200959327392</v>
      </c>
      <c r="C106" s="76">
        <f>C12-B106</f>
        <v>6372.4899040672599</v>
      </c>
      <c r="D106" s="76">
        <f t="shared" si="2"/>
        <v>2067803.5868421241</v>
      </c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4.25" customHeight="1" x14ac:dyDescent="0.15">
      <c r="A107" s="70">
        <v>89</v>
      </c>
      <c r="B107" s="80">
        <f t="shared" si="1"/>
        <v>2584.7544835526551</v>
      </c>
      <c r="C107" s="76">
        <f>C12-B107</f>
        <v>6380.4555164473441</v>
      </c>
      <c r="D107" s="76">
        <f t="shared" si="2"/>
        <v>2061423.1313256768</v>
      </c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4.25" customHeight="1" x14ac:dyDescent="0.15">
      <c r="A108" s="70">
        <v>90</v>
      </c>
      <c r="B108" s="80">
        <f t="shared" si="1"/>
        <v>2576.7789141570966</v>
      </c>
      <c r="C108" s="76">
        <f>C12-B108</f>
        <v>6388.4310858429026</v>
      </c>
      <c r="D108" s="76">
        <f t="shared" si="2"/>
        <v>2055034.7002398339</v>
      </c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4.25" customHeight="1" x14ac:dyDescent="0.15">
      <c r="A109" s="70">
        <v>91</v>
      </c>
      <c r="B109" s="80">
        <f t="shared" si="1"/>
        <v>2568.7933752997924</v>
      </c>
      <c r="C109" s="76">
        <f>C12-B109</f>
        <v>6396.4166247002067</v>
      </c>
      <c r="D109" s="76">
        <f t="shared" si="2"/>
        <v>2048638.2836151337</v>
      </c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4.25" customHeight="1" x14ac:dyDescent="0.15">
      <c r="A110" s="70">
        <v>92</v>
      </c>
      <c r="B110" s="80">
        <f t="shared" si="1"/>
        <v>2560.7978545189176</v>
      </c>
      <c r="C110" s="76">
        <f>C12-B110</f>
        <v>6404.4121454810811</v>
      </c>
      <c r="D110" s="76">
        <f t="shared" si="2"/>
        <v>2042233.8714696527</v>
      </c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4.25" customHeight="1" x14ac:dyDescent="0.15">
      <c r="A111" s="70">
        <v>93</v>
      </c>
      <c r="B111" s="80">
        <f t="shared" si="1"/>
        <v>2552.7923393370661</v>
      </c>
      <c r="C111" s="76">
        <f>C12-B111</f>
        <v>6412.4176606629335</v>
      </c>
      <c r="D111" s="76">
        <f t="shared" si="2"/>
        <v>2035821.4538089898</v>
      </c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4.25" customHeight="1" x14ac:dyDescent="0.15">
      <c r="A112" s="70">
        <v>94</v>
      </c>
      <c r="B112" s="80">
        <f t="shared" si="1"/>
        <v>2544.7768172612373</v>
      </c>
      <c r="C112" s="76">
        <f>C12-B112</f>
        <v>6420.4331827387614</v>
      </c>
      <c r="D112" s="76">
        <f t="shared" si="2"/>
        <v>2029401.0206262511</v>
      </c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4.25" customHeight="1" x14ac:dyDescent="0.15">
      <c r="A113" s="70">
        <v>95</v>
      </c>
      <c r="B113" s="80">
        <f t="shared" si="1"/>
        <v>2536.7512757828144</v>
      </c>
      <c r="C113" s="76">
        <f>C12-B113</f>
        <v>6428.4587242171847</v>
      </c>
      <c r="D113" s="76">
        <f t="shared" si="2"/>
        <v>2022972.5619020339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4.25" customHeight="1" x14ac:dyDescent="0.15">
      <c r="A114" s="70">
        <v>96</v>
      </c>
      <c r="B114" s="80">
        <f t="shared" si="1"/>
        <v>2528.7157023775426</v>
      </c>
      <c r="C114" s="76">
        <f>C12-B114</f>
        <v>6436.4942976224565</v>
      </c>
      <c r="D114" s="76">
        <f t="shared" si="2"/>
        <v>2016536.0676044114</v>
      </c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4.25" customHeight="1" x14ac:dyDescent="0.15">
      <c r="A115" s="70">
        <v>97</v>
      </c>
      <c r="B115" s="80">
        <f t="shared" si="1"/>
        <v>2520.6700845055143</v>
      </c>
      <c r="C115" s="76">
        <f>C12-B115</f>
        <v>6444.5399154944844</v>
      </c>
      <c r="D115" s="76">
        <f t="shared" si="2"/>
        <v>2010091.527688917</v>
      </c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4.25" customHeight="1" x14ac:dyDescent="0.15">
      <c r="A116" s="70">
        <v>98</v>
      </c>
      <c r="B116" s="80">
        <f t="shared" si="1"/>
        <v>2512.6144096111461</v>
      </c>
      <c r="C116" s="76">
        <f>C12-B116</f>
        <v>6452.5955903888535</v>
      </c>
      <c r="D116" s="76">
        <f t="shared" si="2"/>
        <v>2003638.9320985281</v>
      </c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4.25" customHeight="1" x14ac:dyDescent="0.15">
      <c r="A117" s="70">
        <v>99</v>
      </c>
      <c r="B117" s="80">
        <f t="shared" si="1"/>
        <v>2504.5486651231604</v>
      </c>
      <c r="C117" s="76">
        <f>C12-B117</f>
        <v>6460.6613348768387</v>
      </c>
      <c r="D117" s="76">
        <f t="shared" si="2"/>
        <v>1997178.2707636512</v>
      </c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4.25" customHeight="1" x14ac:dyDescent="0.15">
      <c r="A118" s="70">
        <v>100</v>
      </c>
      <c r="B118" s="80">
        <f t="shared" si="1"/>
        <v>2496.4728384545642</v>
      </c>
      <c r="C118" s="76">
        <f>C12-B118</f>
        <v>6468.7371615454349</v>
      </c>
      <c r="D118" s="76">
        <f t="shared" si="2"/>
        <v>1990709.5336021057</v>
      </c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4.25" customHeight="1" x14ac:dyDescent="0.15">
      <c r="A119" s="70">
        <v>101</v>
      </c>
      <c r="B119" s="80">
        <f t="shared" si="1"/>
        <v>2488.3869170026323</v>
      </c>
      <c r="C119" s="76">
        <f>C12-B119</f>
        <v>6476.8230829973672</v>
      </c>
      <c r="D119" s="76">
        <f t="shared" si="2"/>
        <v>1984232.7105191082</v>
      </c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4.25" customHeight="1" x14ac:dyDescent="0.15">
      <c r="A120" s="70">
        <v>102</v>
      </c>
      <c r="B120" s="80">
        <f t="shared" si="1"/>
        <v>2480.2908881488856</v>
      </c>
      <c r="C120" s="76">
        <f>C12-B120</f>
        <v>6484.9191118511135</v>
      </c>
      <c r="D120" s="76">
        <f t="shared" si="2"/>
        <v>1977747.7914072571</v>
      </c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4.25" customHeight="1" x14ac:dyDescent="0.15">
      <c r="A121" s="70">
        <v>103</v>
      </c>
      <c r="B121" s="80">
        <f t="shared" si="1"/>
        <v>2472.1847392590712</v>
      </c>
      <c r="C121" s="76">
        <f>C12-B121</f>
        <v>6493.0252607409275</v>
      </c>
      <c r="D121" s="76">
        <f t="shared" si="2"/>
        <v>1971254.7661465162</v>
      </c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4.25" customHeight="1" x14ac:dyDescent="0.15">
      <c r="A122" s="70">
        <v>104</v>
      </c>
      <c r="B122" s="80">
        <f t="shared" si="1"/>
        <v>2464.0684576831454</v>
      </c>
      <c r="C122" s="76">
        <f>C12-B122</f>
        <v>6501.1415423168537</v>
      </c>
      <c r="D122" s="76">
        <f t="shared" si="2"/>
        <v>1964753.6246041993</v>
      </c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4.25" customHeight="1" x14ac:dyDescent="0.15">
      <c r="A123" s="70">
        <v>105</v>
      </c>
      <c r="B123" s="80">
        <f t="shared" si="1"/>
        <v>2455.9420307552491</v>
      </c>
      <c r="C123" s="76">
        <f>C12-B123</f>
        <v>6509.26796924475</v>
      </c>
      <c r="D123" s="76">
        <f t="shared" si="2"/>
        <v>1958244.3566349545</v>
      </c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4.25" customHeight="1" x14ac:dyDescent="0.15">
      <c r="A124" s="70">
        <v>106</v>
      </c>
      <c r="B124" s="80">
        <f t="shared" si="1"/>
        <v>2447.8054457936933</v>
      </c>
      <c r="C124" s="76">
        <f>C12-B124</f>
        <v>6517.4045542063059</v>
      </c>
      <c r="D124" s="76">
        <f t="shared" si="2"/>
        <v>1951726.952080748</v>
      </c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4.25" customHeight="1" x14ac:dyDescent="0.15">
      <c r="A125" s="70">
        <v>107</v>
      </c>
      <c r="B125" s="80">
        <f t="shared" si="1"/>
        <v>2439.658690100935</v>
      </c>
      <c r="C125" s="76">
        <f>C12-B125</f>
        <v>6525.5513098990641</v>
      </c>
      <c r="D125" s="76">
        <f t="shared" si="2"/>
        <v>1945201.4007708491</v>
      </c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4.25" customHeight="1" x14ac:dyDescent="0.15">
      <c r="A126" s="70">
        <v>108</v>
      </c>
      <c r="B126" s="80">
        <f t="shared" si="1"/>
        <v>2431.5017509635613</v>
      </c>
      <c r="C126" s="76">
        <f>C12-B126</f>
        <v>6533.7082490364373</v>
      </c>
      <c r="D126" s="76">
        <f t="shared" si="2"/>
        <v>1938667.6925218126</v>
      </c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4.25" customHeight="1" x14ac:dyDescent="0.15">
      <c r="A127" s="70">
        <v>109</v>
      </c>
      <c r="B127" s="80">
        <f t="shared" si="1"/>
        <v>2423.3346156522657</v>
      </c>
      <c r="C127" s="76">
        <f>C12-B127</f>
        <v>6541.8753843477334</v>
      </c>
      <c r="D127" s="76">
        <f t="shared" si="2"/>
        <v>1932125.8171374649</v>
      </c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4.25" customHeight="1" x14ac:dyDescent="0.15">
      <c r="A128" s="70">
        <v>110</v>
      </c>
      <c r="B128" s="80">
        <f t="shared" si="1"/>
        <v>2415.1572714218314</v>
      </c>
      <c r="C128" s="76">
        <f>C12-B128</f>
        <v>6550.0527285781682</v>
      </c>
      <c r="D128" s="76">
        <f t="shared" si="2"/>
        <v>1925575.7644088867</v>
      </c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4.25" customHeight="1" x14ac:dyDescent="0.15">
      <c r="A129" s="70">
        <v>111</v>
      </c>
      <c r="B129" s="80">
        <f t="shared" si="1"/>
        <v>2406.9697055111083</v>
      </c>
      <c r="C129" s="76">
        <f>C12-B129</f>
        <v>6558.2402944888909</v>
      </c>
      <c r="D129" s="76">
        <f t="shared" si="2"/>
        <v>1919017.5241143978</v>
      </c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4.25" customHeight="1" x14ac:dyDescent="0.15">
      <c r="A130" s="70">
        <v>112</v>
      </c>
      <c r="B130" s="80">
        <f t="shared" si="1"/>
        <v>2398.7719051429972</v>
      </c>
      <c r="C130" s="76">
        <f>C12-B130</f>
        <v>6566.4380948570015</v>
      </c>
      <c r="D130" s="76">
        <f t="shared" si="2"/>
        <v>1912451.0860195409</v>
      </c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4.25" customHeight="1" x14ac:dyDescent="0.15">
      <c r="A131" s="70">
        <v>113</v>
      </c>
      <c r="B131" s="80">
        <f t="shared" si="1"/>
        <v>2390.5638575244261</v>
      </c>
      <c r="C131" s="76">
        <f>C12-B131</f>
        <v>6574.6461424755726</v>
      </c>
      <c r="D131" s="76">
        <f t="shared" si="2"/>
        <v>1905876.4398770654</v>
      </c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4.25" customHeight="1" x14ac:dyDescent="0.15">
      <c r="A132" s="70">
        <v>114</v>
      </c>
      <c r="B132" s="80">
        <f t="shared" si="1"/>
        <v>2382.3455498463318</v>
      </c>
      <c r="C132" s="76">
        <f>C12-B132</f>
        <v>6582.8644501536673</v>
      </c>
      <c r="D132" s="76">
        <f t="shared" si="2"/>
        <v>1899293.5754269117</v>
      </c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4.25" customHeight="1" x14ac:dyDescent="0.15">
      <c r="A133" s="70">
        <v>115</v>
      </c>
      <c r="B133" s="80">
        <f t="shared" si="1"/>
        <v>2374.1169692836397</v>
      </c>
      <c r="C133" s="76">
        <f>C12-B133</f>
        <v>6591.0930307163599</v>
      </c>
      <c r="D133" s="76">
        <f t="shared" si="2"/>
        <v>1892702.4823961954</v>
      </c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4.25" customHeight="1" x14ac:dyDescent="0.15">
      <c r="A134" s="70">
        <v>116</v>
      </c>
      <c r="B134" s="80">
        <f t="shared" si="1"/>
        <v>2365.8781029952443</v>
      </c>
      <c r="C134" s="76">
        <f>C12-B134</f>
        <v>6599.3318970047549</v>
      </c>
      <c r="D134" s="76">
        <f t="shared" si="2"/>
        <v>1886103.1504991907</v>
      </c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4.25" customHeight="1" x14ac:dyDescent="0.15">
      <c r="A135" s="70">
        <v>117</v>
      </c>
      <c r="B135" s="80">
        <f t="shared" si="1"/>
        <v>2357.6289381239885</v>
      </c>
      <c r="C135" s="76">
        <f>C12-B135</f>
        <v>6607.5810618760106</v>
      </c>
      <c r="D135" s="76">
        <f t="shared" si="2"/>
        <v>1879495.5694373148</v>
      </c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4.25" customHeight="1" x14ac:dyDescent="0.15">
      <c r="A136" s="70">
        <v>118</v>
      </c>
      <c r="B136" s="80">
        <f t="shared" si="1"/>
        <v>2349.3694617966435</v>
      </c>
      <c r="C136" s="76">
        <f>C12-B136</f>
        <v>6615.8405382033561</v>
      </c>
      <c r="D136" s="76">
        <f t="shared" si="2"/>
        <v>1872879.7288991115</v>
      </c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4.25" customHeight="1" x14ac:dyDescent="0.15">
      <c r="A137" s="70">
        <v>119</v>
      </c>
      <c r="B137" s="80">
        <f t="shared" si="1"/>
        <v>2341.0996611238893</v>
      </c>
      <c r="C137" s="76">
        <f>C12-B137</f>
        <v>6624.1103388761094</v>
      </c>
      <c r="D137" s="76">
        <f t="shared" si="2"/>
        <v>1866255.6185602355</v>
      </c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4.25" customHeight="1" x14ac:dyDescent="0.15">
      <c r="A138" s="70">
        <v>120</v>
      </c>
      <c r="B138" s="80">
        <f t="shared" si="1"/>
        <v>2332.8195232002945</v>
      </c>
      <c r="C138" s="76">
        <f>C12-B138</f>
        <v>6632.3904767997046</v>
      </c>
      <c r="D138" s="76">
        <f t="shared" si="2"/>
        <v>1859623.2280834357</v>
      </c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4.25" customHeight="1" x14ac:dyDescent="0.15">
      <c r="A139" s="70">
        <v>121</v>
      </c>
      <c r="B139" s="80">
        <f t="shared" si="1"/>
        <v>2324.5290351042945</v>
      </c>
      <c r="C139" s="76">
        <f>C12-B139</f>
        <v>6640.6809648957042</v>
      </c>
      <c r="D139" s="76">
        <f t="shared" si="2"/>
        <v>1852982.5471185399</v>
      </c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4.25" customHeight="1" x14ac:dyDescent="0.15">
      <c r="A140" s="70">
        <v>122</v>
      </c>
      <c r="B140" s="80">
        <f t="shared" si="1"/>
        <v>2316.2281838981753</v>
      </c>
      <c r="C140" s="76">
        <f>C12-B140</f>
        <v>6648.9818161018238</v>
      </c>
      <c r="D140" s="76">
        <f t="shared" si="2"/>
        <v>1846333.5653024381</v>
      </c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4.25" customHeight="1" x14ac:dyDescent="0.15">
      <c r="A141" s="70">
        <v>123</v>
      </c>
      <c r="B141" s="80">
        <f t="shared" si="1"/>
        <v>2307.9169566280475</v>
      </c>
      <c r="C141" s="76">
        <f>C12-B141</f>
        <v>6657.2930433719521</v>
      </c>
      <c r="D141" s="76">
        <f t="shared" si="2"/>
        <v>1839676.2722590661</v>
      </c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4.25" customHeight="1" x14ac:dyDescent="0.15">
      <c r="A142" s="70">
        <v>124</v>
      </c>
      <c r="B142" s="80">
        <f t="shared" si="1"/>
        <v>2299.5953403238327</v>
      </c>
      <c r="C142" s="76">
        <f>C12-B142</f>
        <v>6665.6146596761664</v>
      </c>
      <c r="D142" s="76">
        <f t="shared" si="2"/>
        <v>1833010.65759939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4.25" customHeight="1" x14ac:dyDescent="0.15">
      <c r="A143" s="70">
        <v>125</v>
      </c>
      <c r="B143" s="80">
        <f t="shared" si="1"/>
        <v>2291.2633219992376</v>
      </c>
      <c r="C143" s="76">
        <f>C12-B143</f>
        <v>6673.9466780007615</v>
      </c>
      <c r="D143" s="76">
        <f t="shared" si="2"/>
        <v>1826336.7109213893</v>
      </c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4.25" customHeight="1" x14ac:dyDescent="0.15">
      <c r="A144" s="70">
        <v>126</v>
      </c>
      <c r="B144" s="80">
        <f t="shared" si="1"/>
        <v>2282.9208886517367</v>
      </c>
      <c r="C144" s="76">
        <f>C12-B144</f>
        <v>6682.2891113482619</v>
      </c>
      <c r="D144" s="76">
        <f t="shared" si="2"/>
        <v>1819654.4218100409</v>
      </c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4.25" customHeight="1" x14ac:dyDescent="0.15">
      <c r="A145" s="70">
        <v>127</v>
      </c>
      <c r="B145" s="80">
        <f t="shared" si="1"/>
        <v>2274.5680272625514</v>
      </c>
      <c r="C145" s="76">
        <f>C12-B145</f>
        <v>6690.6419727374478</v>
      </c>
      <c r="D145" s="76">
        <f t="shared" si="2"/>
        <v>1812963.7798373036</v>
      </c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4.25" customHeight="1" x14ac:dyDescent="0.15">
      <c r="A146" s="70">
        <v>128</v>
      </c>
      <c r="B146" s="80">
        <f t="shared" si="1"/>
        <v>2266.2047247966298</v>
      </c>
      <c r="C146" s="76">
        <f>C12-B146</f>
        <v>6699.0052752033698</v>
      </c>
      <c r="D146" s="76">
        <f t="shared" si="2"/>
        <v>1806264.7745621002</v>
      </c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4.25" customHeight="1" x14ac:dyDescent="0.15">
      <c r="A147" s="70">
        <v>129</v>
      </c>
      <c r="B147" s="80">
        <f t="shared" si="1"/>
        <v>2257.8309682026256</v>
      </c>
      <c r="C147" s="76">
        <f>C12-B147</f>
        <v>6707.3790317973735</v>
      </c>
      <c r="D147" s="76">
        <f t="shared" si="2"/>
        <v>1799557.3955303028</v>
      </c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4.25" customHeight="1" x14ac:dyDescent="0.15">
      <c r="A148" s="70">
        <v>130</v>
      </c>
      <c r="B148" s="80">
        <f t="shared" si="1"/>
        <v>2249.4467444128786</v>
      </c>
      <c r="C148" s="76">
        <f>C12-B148</f>
        <v>6715.7632555871205</v>
      </c>
      <c r="D148" s="76">
        <f t="shared" si="2"/>
        <v>1792841.6322747157</v>
      </c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4.25" customHeight="1" x14ac:dyDescent="0.15">
      <c r="A149" s="70">
        <v>131</v>
      </c>
      <c r="B149" s="80">
        <f t="shared" si="1"/>
        <v>2241.0520403433948</v>
      </c>
      <c r="C149" s="76">
        <f>C12-B149</f>
        <v>6724.1579596566044</v>
      </c>
      <c r="D149" s="76">
        <f t="shared" si="2"/>
        <v>1786117.4743150591</v>
      </c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4.25" customHeight="1" x14ac:dyDescent="0.15">
      <c r="A150" s="70">
        <v>132</v>
      </c>
      <c r="B150" s="80">
        <f t="shared" si="1"/>
        <v>2232.6468428938238</v>
      </c>
      <c r="C150" s="76">
        <f>C12-B150</f>
        <v>6732.5631571061749</v>
      </c>
      <c r="D150" s="76">
        <f t="shared" si="2"/>
        <v>1779384.9111579529</v>
      </c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4.25" customHeight="1" x14ac:dyDescent="0.15">
      <c r="A151" s="70">
        <v>133</v>
      </c>
      <c r="B151" s="80">
        <f t="shared" si="1"/>
        <v>2224.2311389474412</v>
      </c>
      <c r="C151" s="76">
        <f>C12-B151</f>
        <v>6740.9788610525575</v>
      </c>
      <c r="D151" s="76">
        <f t="shared" si="2"/>
        <v>1772643.9322969003</v>
      </c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4.25" customHeight="1" x14ac:dyDescent="0.15">
      <c r="A152" s="70">
        <v>134</v>
      </c>
      <c r="B152" s="80">
        <f t="shared" si="1"/>
        <v>2215.8049153711254</v>
      </c>
      <c r="C152" s="76">
        <f>C12-B152</f>
        <v>6749.4050846288737</v>
      </c>
      <c r="D152" s="76">
        <f t="shared" si="2"/>
        <v>1765894.5272122715</v>
      </c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4.25" customHeight="1" x14ac:dyDescent="0.15">
      <c r="A153" s="70">
        <v>135</v>
      </c>
      <c r="B153" s="80">
        <f t="shared" si="1"/>
        <v>2207.3681590153396</v>
      </c>
      <c r="C153" s="76">
        <f>C12-B153</f>
        <v>6757.8418409846599</v>
      </c>
      <c r="D153" s="76">
        <f t="shared" si="2"/>
        <v>1759136.6853712867</v>
      </c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4.25" customHeight="1" x14ac:dyDescent="0.15">
      <c r="A154" s="70">
        <v>136</v>
      </c>
      <c r="B154" s="80">
        <f t="shared" si="1"/>
        <v>2198.9208567141086</v>
      </c>
      <c r="C154" s="76">
        <f>C12-B154</f>
        <v>6766.2891432858905</v>
      </c>
      <c r="D154" s="76">
        <f t="shared" si="2"/>
        <v>1752370.3962280008</v>
      </c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4.25" customHeight="1" x14ac:dyDescent="0.15">
      <c r="A155" s="70">
        <v>137</v>
      </c>
      <c r="B155" s="80">
        <f t="shared" si="1"/>
        <v>2190.4629952850009</v>
      </c>
      <c r="C155" s="76">
        <f>C12-B155</f>
        <v>6774.7470047149982</v>
      </c>
      <c r="D155" s="76">
        <f t="shared" si="2"/>
        <v>1745595.6492232857</v>
      </c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4.25" customHeight="1" x14ac:dyDescent="0.15">
      <c r="A156" s="70">
        <v>138</v>
      </c>
      <c r="B156" s="80">
        <f t="shared" si="1"/>
        <v>2181.9945615291072</v>
      </c>
      <c r="C156" s="76">
        <f>C12-B156</f>
        <v>6783.215438470892</v>
      </c>
      <c r="D156" s="76">
        <f t="shared" si="2"/>
        <v>1738812.4337848148</v>
      </c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4.25" customHeight="1" x14ac:dyDescent="0.15">
      <c r="A157" s="70">
        <v>139</v>
      </c>
      <c r="B157" s="80">
        <f t="shared" si="1"/>
        <v>2173.5155422310186</v>
      </c>
      <c r="C157" s="76">
        <f>C12-B157</f>
        <v>6791.694457768981</v>
      </c>
      <c r="D157" s="76">
        <f t="shared" si="2"/>
        <v>1732020.7393270459</v>
      </c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4.25" customHeight="1" x14ac:dyDescent="0.15">
      <c r="A158" s="70">
        <v>140</v>
      </c>
      <c r="B158" s="80">
        <f t="shared" si="1"/>
        <v>2165.0259241588074</v>
      </c>
      <c r="C158" s="76">
        <f>C12-B158</f>
        <v>6800.1840758411918</v>
      </c>
      <c r="D158" s="76">
        <f t="shared" si="2"/>
        <v>1725220.5552512046</v>
      </c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4.25" customHeight="1" x14ac:dyDescent="0.15">
      <c r="A159" s="70">
        <v>141</v>
      </c>
      <c r="B159" s="80">
        <f t="shared" si="1"/>
        <v>2156.5256940640061</v>
      </c>
      <c r="C159" s="76">
        <f>C12-B159</f>
        <v>6808.6843059359926</v>
      </c>
      <c r="D159" s="76">
        <f t="shared" si="2"/>
        <v>1718411.8709452685</v>
      </c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4.25" customHeight="1" x14ac:dyDescent="0.15">
      <c r="A160" s="70">
        <v>142</v>
      </c>
      <c r="B160" s="80">
        <f t="shared" si="1"/>
        <v>2148.0148386815858</v>
      </c>
      <c r="C160" s="76">
        <f>C12-B160</f>
        <v>6817.1951613184137</v>
      </c>
      <c r="D160" s="76">
        <f t="shared" si="2"/>
        <v>1711594.6757839501</v>
      </c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4.25" customHeight="1" x14ac:dyDescent="0.15">
      <c r="A161" s="70">
        <v>143</v>
      </c>
      <c r="B161" s="80">
        <f t="shared" si="1"/>
        <v>2139.4933447299377</v>
      </c>
      <c r="C161" s="76">
        <f>C12-B161</f>
        <v>6825.7166552700619</v>
      </c>
      <c r="D161" s="76">
        <f t="shared" si="2"/>
        <v>1704768.9591286802</v>
      </c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4.25" customHeight="1" x14ac:dyDescent="0.15">
      <c r="A162" s="70">
        <v>144</v>
      </c>
      <c r="B162" s="80">
        <f t="shared" si="1"/>
        <v>2130.9611989108503</v>
      </c>
      <c r="C162" s="76">
        <f>C12-B162</f>
        <v>6834.2488010891484</v>
      </c>
      <c r="D162" s="76">
        <f t="shared" si="2"/>
        <v>1697934.710327591</v>
      </c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4.25" customHeight="1" x14ac:dyDescent="0.15">
      <c r="A163" s="70">
        <v>145</v>
      </c>
      <c r="B163" s="80">
        <f t="shared" si="1"/>
        <v>2122.418387909489</v>
      </c>
      <c r="C163" s="76">
        <f>C12-B163</f>
        <v>6842.7916120905102</v>
      </c>
      <c r="D163" s="76">
        <f t="shared" si="2"/>
        <v>1691091.9187155005</v>
      </c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4.25" customHeight="1" x14ac:dyDescent="0.15">
      <c r="A164" s="70">
        <v>146</v>
      </c>
      <c r="B164" s="80">
        <f t="shared" si="1"/>
        <v>2113.8648983943758</v>
      </c>
      <c r="C164" s="76">
        <f>C12-B164</f>
        <v>6851.3451016056233</v>
      </c>
      <c r="D164" s="76">
        <f t="shared" si="2"/>
        <v>1684240.5736138949</v>
      </c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4.25" customHeight="1" x14ac:dyDescent="0.15">
      <c r="A165" s="70">
        <v>147</v>
      </c>
      <c r="B165" s="80">
        <f t="shared" si="1"/>
        <v>2105.3007170173687</v>
      </c>
      <c r="C165" s="76">
        <f>C12-B165</f>
        <v>6859.9092829826304</v>
      </c>
      <c r="D165" s="76">
        <f t="shared" si="2"/>
        <v>1677380.6643309123</v>
      </c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4.25" customHeight="1" x14ac:dyDescent="0.15">
      <c r="A166" s="70">
        <v>148</v>
      </c>
      <c r="B166" s="80">
        <f t="shared" si="1"/>
        <v>2096.7258304136403</v>
      </c>
      <c r="C166" s="76">
        <f>C12-B166</f>
        <v>6868.4841695863588</v>
      </c>
      <c r="D166" s="76">
        <f t="shared" si="2"/>
        <v>1670512.180161326</v>
      </c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4.25" customHeight="1" x14ac:dyDescent="0.15">
      <c r="A167" s="70">
        <v>149</v>
      </c>
      <c r="B167" s="80">
        <f t="shared" si="1"/>
        <v>2088.1402252016574</v>
      </c>
      <c r="C167" s="76">
        <f>C12-B167</f>
        <v>6877.0697747983413</v>
      </c>
      <c r="D167" s="76">
        <f t="shared" si="2"/>
        <v>1663635.1103865276</v>
      </c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4.25" customHeight="1" x14ac:dyDescent="0.15">
      <c r="A168" s="70">
        <v>150</v>
      </c>
      <c r="B168" s="80">
        <f t="shared" si="1"/>
        <v>2079.5438879831595</v>
      </c>
      <c r="C168" s="76">
        <f>C12-B168</f>
        <v>6885.6661120168392</v>
      </c>
      <c r="D168" s="76">
        <f t="shared" si="2"/>
        <v>1656749.4442745107</v>
      </c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4.25" customHeight="1" x14ac:dyDescent="0.15">
      <c r="A169" s="70">
        <v>151</v>
      </c>
      <c r="B169" s="80">
        <f t="shared" si="1"/>
        <v>2070.9368053431385</v>
      </c>
      <c r="C169" s="76">
        <f>C12-B169</f>
        <v>6894.2731946568601</v>
      </c>
      <c r="D169" s="76">
        <f t="shared" si="2"/>
        <v>1649855.1710798538</v>
      </c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4.25" customHeight="1" x14ac:dyDescent="0.15">
      <c r="A170" s="70">
        <v>152</v>
      </c>
      <c r="B170" s="80">
        <f t="shared" si="1"/>
        <v>2062.3189638498175</v>
      </c>
      <c r="C170" s="76">
        <f>C12-B170</f>
        <v>6902.8910361501821</v>
      </c>
      <c r="D170" s="76">
        <f t="shared" si="2"/>
        <v>1642952.2800437035</v>
      </c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4.25" customHeight="1" x14ac:dyDescent="0.15">
      <c r="A171" s="70">
        <v>153</v>
      </c>
      <c r="B171" s="80">
        <f t="shared" si="1"/>
        <v>2053.6903500546296</v>
      </c>
      <c r="C171" s="76">
        <f>C12-B171</f>
        <v>6911.5196499453696</v>
      </c>
      <c r="D171" s="76">
        <f t="shared" si="2"/>
        <v>1636040.7603937581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4.25" customHeight="1" x14ac:dyDescent="0.15">
      <c r="A172" s="70">
        <v>154</v>
      </c>
      <c r="B172" s="80">
        <f t="shared" si="1"/>
        <v>2045.0509504921977</v>
      </c>
      <c r="C172" s="76">
        <f>C12-B172</f>
        <v>6920.1590495078017</v>
      </c>
      <c r="D172" s="76">
        <f t="shared" si="2"/>
        <v>1629120.6013442504</v>
      </c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4.25" customHeight="1" x14ac:dyDescent="0.15">
      <c r="A173" s="70">
        <v>155</v>
      </c>
      <c r="B173" s="80">
        <f t="shared" si="1"/>
        <v>2036.4007516803131</v>
      </c>
      <c r="C173" s="76">
        <f>C12-B173</f>
        <v>6928.809248319686</v>
      </c>
      <c r="D173" s="76">
        <f t="shared" si="2"/>
        <v>1622191.7920959308</v>
      </c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4.25" customHeight="1" x14ac:dyDescent="0.15">
      <c r="A174" s="70">
        <v>156</v>
      </c>
      <c r="B174" s="80">
        <f t="shared" si="1"/>
        <v>2027.7397401199134</v>
      </c>
      <c r="C174" s="76">
        <f>C12-B174</f>
        <v>6937.4702598800859</v>
      </c>
      <c r="D174" s="76">
        <f t="shared" si="2"/>
        <v>1615254.3218360506</v>
      </c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4.25" customHeight="1" x14ac:dyDescent="0.15">
      <c r="A175" s="70">
        <v>157</v>
      </c>
      <c r="B175" s="80">
        <f t="shared" si="1"/>
        <v>2019.0679022950633</v>
      </c>
      <c r="C175" s="76">
        <f>C12-B175</f>
        <v>6946.1420977049356</v>
      </c>
      <c r="D175" s="76">
        <f t="shared" si="2"/>
        <v>1608308.1797383456</v>
      </c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4.25" customHeight="1" x14ac:dyDescent="0.15">
      <c r="A176" s="70">
        <v>158</v>
      </c>
      <c r="B176" s="80">
        <f t="shared" si="1"/>
        <v>2010.3852246729321</v>
      </c>
      <c r="C176" s="76">
        <f>C12-B176</f>
        <v>6954.8247753270671</v>
      </c>
      <c r="D176" s="76">
        <f t="shared" si="2"/>
        <v>1601353.3549630186</v>
      </c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4.25" customHeight="1" x14ac:dyDescent="0.15">
      <c r="A177" s="70">
        <v>159</v>
      </c>
      <c r="B177" s="80">
        <f t="shared" si="1"/>
        <v>2001.6916937037734</v>
      </c>
      <c r="C177" s="76">
        <f>C12-B177</f>
        <v>6963.518306296226</v>
      </c>
      <c r="D177" s="76">
        <f t="shared" si="2"/>
        <v>1594389.8366567222</v>
      </c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4.25" customHeight="1" x14ac:dyDescent="0.15">
      <c r="A178" s="70">
        <v>160</v>
      </c>
      <c r="B178" s="80">
        <f t="shared" si="1"/>
        <v>1992.9872958209028</v>
      </c>
      <c r="C178" s="76">
        <f>C12-B178</f>
        <v>6972.2227041790966</v>
      </c>
      <c r="D178" s="76">
        <f t="shared" si="2"/>
        <v>1587417.6139525431</v>
      </c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4.25" customHeight="1" x14ac:dyDescent="0.15">
      <c r="A179" s="70">
        <v>161</v>
      </c>
      <c r="B179" s="80">
        <f t="shared" si="1"/>
        <v>1984.2720174406788</v>
      </c>
      <c r="C179" s="76">
        <f>C12-B179</f>
        <v>6980.9379825593205</v>
      </c>
      <c r="D179" s="76">
        <f t="shared" si="2"/>
        <v>1580436.6759699839</v>
      </c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4.25" customHeight="1" x14ac:dyDescent="0.15">
      <c r="A180" s="70">
        <v>162</v>
      </c>
      <c r="B180" s="80">
        <f t="shared" si="1"/>
        <v>1975.5458449624798</v>
      </c>
      <c r="C180" s="76">
        <f>C12-B180</f>
        <v>6989.6641550375189</v>
      </c>
      <c r="D180" s="76">
        <f t="shared" si="2"/>
        <v>1573447.0118149463</v>
      </c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4.25" customHeight="1" x14ac:dyDescent="0.15">
      <c r="A181" s="70">
        <v>163</v>
      </c>
      <c r="B181" s="80">
        <f t="shared" si="1"/>
        <v>1966.808764768683</v>
      </c>
      <c r="C181" s="76">
        <f>C12-B181</f>
        <v>6998.4012352313166</v>
      </c>
      <c r="D181" s="76">
        <f t="shared" si="2"/>
        <v>1566448.6105797149</v>
      </c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4.25" customHeight="1" x14ac:dyDescent="0.15">
      <c r="A182" s="70">
        <v>164</v>
      </c>
      <c r="B182" s="80">
        <f t="shared" si="1"/>
        <v>1958.0607632246438</v>
      </c>
      <c r="C182" s="76">
        <f>C12-B182</f>
        <v>7007.1492367753553</v>
      </c>
      <c r="D182" s="76">
        <f t="shared" si="2"/>
        <v>1559441.4613429394</v>
      </c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4.25" customHeight="1" x14ac:dyDescent="0.15">
      <c r="A183" s="70">
        <v>165</v>
      </c>
      <c r="B183" s="80">
        <f t="shared" si="1"/>
        <v>1949.3018266786744</v>
      </c>
      <c r="C183" s="76">
        <f>C12-B183</f>
        <v>7015.9081733213243</v>
      </c>
      <c r="D183" s="76">
        <f t="shared" si="2"/>
        <v>1552425.5531696181</v>
      </c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4.25" customHeight="1" x14ac:dyDescent="0.15">
      <c r="A184" s="70">
        <v>166</v>
      </c>
      <c r="B184" s="80">
        <f t="shared" si="1"/>
        <v>1940.5319414620228</v>
      </c>
      <c r="C184" s="76">
        <f>C12-B184</f>
        <v>7024.6780585379765</v>
      </c>
      <c r="D184" s="76">
        <f t="shared" si="2"/>
        <v>1545400.8751110802</v>
      </c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4.25" customHeight="1" x14ac:dyDescent="0.15">
      <c r="A185" s="70">
        <v>167</v>
      </c>
      <c r="B185" s="80">
        <f t="shared" si="1"/>
        <v>1931.7510938888504</v>
      </c>
      <c r="C185" s="76">
        <f>C12-B185</f>
        <v>7033.4589061111492</v>
      </c>
      <c r="D185" s="76">
        <f t="shared" si="2"/>
        <v>1538367.4162049692</v>
      </c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4.25" customHeight="1" x14ac:dyDescent="0.15">
      <c r="A186" s="70">
        <v>168</v>
      </c>
      <c r="B186" s="80">
        <f t="shared" si="1"/>
        <v>1922.9592702562115</v>
      </c>
      <c r="C186" s="76">
        <f>C12-B186</f>
        <v>7042.2507297437878</v>
      </c>
      <c r="D186" s="76">
        <f t="shared" si="2"/>
        <v>1531325.1654752253</v>
      </c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4.25" customHeight="1" x14ac:dyDescent="0.15">
      <c r="A187" s="70">
        <v>169</v>
      </c>
      <c r="B187" s="80">
        <f t="shared" si="1"/>
        <v>1914.1564568440315</v>
      </c>
      <c r="C187" s="76">
        <f>C12-B187</f>
        <v>7051.0535431559674</v>
      </c>
      <c r="D187" s="76">
        <f t="shared" si="2"/>
        <v>1524274.1119320693</v>
      </c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4.25" customHeight="1" x14ac:dyDescent="0.15">
      <c r="A188" s="70">
        <v>170</v>
      </c>
      <c r="B188" s="80">
        <f t="shared" si="1"/>
        <v>1905.3426399150865</v>
      </c>
      <c r="C188" s="76">
        <f>C12-B188</f>
        <v>7059.8673600849124</v>
      </c>
      <c r="D188" s="76">
        <f t="shared" si="2"/>
        <v>1517214.2445719843</v>
      </c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4.25" customHeight="1" x14ac:dyDescent="0.15">
      <c r="A189" s="70">
        <v>171</v>
      </c>
      <c r="B189" s="80">
        <f t="shared" si="1"/>
        <v>1896.5178057149803</v>
      </c>
      <c r="C189" s="76">
        <f>C12-B189</f>
        <v>7068.6921942850186</v>
      </c>
      <c r="D189" s="76">
        <f t="shared" si="2"/>
        <v>1510145.5523776992</v>
      </c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4.25" customHeight="1" x14ac:dyDescent="0.15">
      <c r="A190" s="70">
        <v>172</v>
      </c>
      <c r="B190" s="80">
        <f t="shared" si="1"/>
        <v>1887.6819404721241</v>
      </c>
      <c r="C190" s="76">
        <f>C12-B190</f>
        <v>7077.5280595278746</v>
      </c>
      <c r="D190" s="76">
        <f t="shared" si="2"/>
        <v>1503068.0243181712</v>
      </c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4.25" customHeight="1" x14ac:dyDescent="0.15">
      <c r="A191" s="70">
        <v>173</v>
      </c>
      <c r="B191" s="80">
        <f t="shared" si="1"/>
        <v>1878.835030397714</v>
      </c>
      <c r="C191" s="76">
        <f>C12-B191</f>
        <v>7086.3749696022851</v>
      </c>
      <c r="D191" s="76">
        <f t="shared" si="2"/>
        <v>1495981.6493485689</v>
      </c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4.25" customHeight="1" x14ac:dyDescent="0.15">
      <c r="A192" s="70">
        <v>174</v>
      </c>
      <c r="B192" s="80">
        <f t="shared" si="1"/>
        <v>1869.9770616857111</v>
      </c>
      <c r="C192" s="76">
        <f>C12-B192</f>
        <v>7095.2329383142878</v>
      </c>
      <c r="D192" s="76">
        <f t="shared" si="2"/>
        <v>1488886.4164102545</v>
      </c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4.25" customHeight="1" x14ac:dyDescent="0.15">
      <c r="A193" s="70">
        <v>175</v>
      </c>
      <c r="B193" s="80">
        <f t="shared" si="1"/>
        <v>1861.108020512818</v>
      </c>
      <c r="C193" s="76">
        <f>C12-B193</f>
        <v>7104.1019794871809</v>
      </c>
      <c r="D193" s="76">
        <f t="shared" si="2"/>
        <v>1481782.3144307674</v>
      </c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4.25" customHeight="1" x14ac:dyDescent="0.15">
      <c r="A194" s="70">
        <v>176</v>
      </c>
      <c r="B194" s="80">
        <f t="shared" si="1"/>
        <v>1852.2278930384596</v>
      </c>
      <c r="C194" s="76">
        <f>C12-B194</f>
        <v>7112.9821069615391</v>
      </c>
      <c r="D194" s="76">
        <f t="shared" si="2"/>
        <v>1474669.3323238059</v>
      </c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4.25" customHeight="1" x14ac:dyDescent="0.15">
      <c r="A195" s="70">
        <v>177</v>
      </c>
      <c r="B195" s="80">
        <f t="shared" si="1"/>
        <v>1843.3366654047572</v>
      </c>
      <c r="C195" s="76">
        <f>C12-B195</f>
        <v>7121.8733345952423</v>
      </c>
      <c r="D195" s="76">
        <f t="shared" si="2"/>
        <v>1467547.4589892107</v>
      </c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4.25" customHeight="1" x14ac:dyDescent="0.15">
      <c r="A196" s="70">
        <v>178</v>
      </c>
      <c r="B196" s="80">
        <f t="shared" si="1"/>
        <v>1834.4343237365135</v>
      </c>
      <c r="C196" s="76">
        <f>C12-B196</f>
        <v>7130.7756762634854</v>
      </c>
      <c r="D196" s="76">
        <f t="shared" si="2"/>
        <v>1460416.6833129472</v>
      </c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4.25" customHeight="1" x14ac:dyDescent="0.15">
      <c r="A197" s="70">
        <v>179</v>
      </c>
      <c r="B197" s="80">
        <f t="shared" si="1"/>
        <v>1825.5208541411839</v>
      </c>
      <c r="C197" s="76">
        <f>C12-B197</f>
        <v>7139.6891458588152</v>
      </c>
      <c r="D197" s="76">
        <f t="shared" si="2"/>
        <v>1453276.9941670883</v>
      </c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4.25" customHeight="1" x14ac:dyDescent="0.15">
      <c r="A198" s="70">
        <v>180</v>
      </c>
      <c r="B198" s="80">
        <f t="shared" si="1"/>
        <v>1816.5962427088602</v>
      </c>
      <c r="C198" s="76">
        <f>C12-B198</f>
        <v>7148.6137572911393</v>
      </c>
      <c r="D198" s="76">
        <f t="shared" si="2"/>
        <v>1446128.3804097972</v>
      </c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4.25" customHeight="1" x14ac:dyDescent="0.15">
      <c r="A199" s="70">
        <v>181</v>
      </c>
      <c r="B199" s="80">
        <f t="shared" si="1"/>
        <v>1807.6604755122464</v>
      </c>
      <c r="C199" s="76">
        <f>C12-B199</f>
        <v>7157.5495244877529</v>
      </c>
      <c r="D199" s="76">
        <f t="shared" si="2"/>
        <v>1438970.8308853095</v>
      </c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4.25" customHeight="1" x14ac:dyDescent="0.15">
      <c r="A200" s="70">
        <v>182</v>
      </c>
      <c r="B200" s="80">
        <f t="shared" si="1"/>
        <v>1798.7135386066368</v>
      </c>
      <c r="C200" s="76">
        <f>C12-B200</f>
        <v>7166.4964613933626</v>
      </c>
      <c r="D200" s="76">
        <f t="shared" si="2"/>
        <v>1431804.3344239162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4.25" customHeight="1" x14ac:dyDescent="0.15">
      <c r="A201" s="70">
        <v>183</v>
      </c>
      <c r="B201" s="80">
        <f t="shared" si="1"/>
        <v>1789.7554180298953</v>
      </c>
      <c r="C201" s="76">
        <f>C12-B201</f>
        <v>7175.4545819701034</v>
      </c>
      <c r="D201" s="76">
        <f t="shared" si="2"/>
        <v>1424628.8798419461</v>
      </c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4.25" customHeight="1" x14ac:dyDescent="0.15">
      <c r="A202" s="70">
        <v>184</v>
      </c>
      <c r="B202" s="80">
        <f t="shared" si="1"/>
        <v>1780.7860998024325</v>
      </c>
      <c r="C202" s="76">
        <f>C12-B202</f>
        <v>7184.4239001975666</v>
      </c>
      <c r="D202" s="76">
        <f t="shared" si="2"/>
        <v>1417444.4559417486</v>
      </c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4.25" customHeight="1" x14ac:dyDescent="0.15">
      <c r="A203" s="70">
        <v>185</v>
      </c>
      <c r="B203" s="80">
        <f t="shared" si="1"/>
        <v>1771.8055699271858</v>
      </c>
      <c r="C203" s="76">
        <f>C12-B203</f>
        <v>7193.4044300728128</v>
      </c>
      <c r="D203" s="76">
        <f t="shared" si="2"/>
        <v>1410251.0515116758</v>
      </c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4.25" customHeight="1" x14ac:dyDescent="0.15">
      <c r="A204" s="70">
        <v>186</v>
      </c>
      <c r="B204" s="80">
        <f t="shared" si="1"/>
        <v>1762.8138143895949</v>
      </c>
      <c r="C204" s="76">
        <f>C12-B204</f>
        <v>7202.3961856104042</v>
      </c>
      <c r="D204" s="76">
        <f t="shared" si="2"/>
        <v>1403048.6553260654</v>
      </c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4.25" customHeight="1" x14ac:dyDescent="0.15">
      <c r="A205" s="70">
        <v>187</v>
      </c>
      <c r="B205" s="80">
        <f t="shared" si="1"/>
        <v>1753.8108191575816</v>
      </c>
      <c r="C205" s="76">
        <f>C12-B205</f>
        <v>7211.399180842418</v>
      </c>
      <c r="D205" s="76">
        <f t="shared" si="2"/>
        <v>1395837.256145223</v>
      </c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4.25" customHeight="1" x14ac:dyDescent="0.15">
      <c r="A206" s="70">
        <v>188</v>
      </c>
      <c r="B206" s="80">
        <f t="shared" si="1"/>
        <v>1744.796570181529</v>
      </c>
      <c r="C206" s="76">
        <f>C12-B206</f>
        <v>7220.4134298184699</v>
      </c>
      <c r="D206" s="76">
        <f t="shared" si="2"/>
        <v>1388616.8427154045</v>
      </c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4.25" customHeight="1" x14ac:dyDescent="0.15">
      <c r="A207" s="70">
        <v>189</v>
      </c>
      <c r="B207" s="80">
        <f t="shared" si="1"/>
        <v>1735.7710533942557</v>
      </c>
      <c r="C207" s="76">
        <f>C12-B207</f>
        <v>7229.4389466057437</v>
      </c>
      <c r="D207" s="76">
        <f t="shared" si="2"/>
        <v>1381387.4037687988</v>
      </c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4.25" customHeight="1" x14ac:dyDescent="0.15">
      <c r="A208" s="70">
        <v>190</v>
      </c>
      <c r="B208" s="80">
        <f t="shared" si="1"/>
        <v>1726.7342547109986</v>
      </c>
      <c r="C208" s="76">
        <f>C12-B208</f>
        <v>7238.4757452890008</v>
      </c>
      <c r="D208" s="76">
        <f t="shared" si="2"/>
        <v>1374148.9280235099</v>
      </c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4.25" customHeight="1" x14ac:dyDescent="0.15">
      <c r="A209" s="70">
        <v>191</v>
      </c>
      <c r="B209" s="80">
        <f t="shared" si="1"/>
        <v>1717.6861600293876</v>
      </c>
      <c r="C209" s="76">
        <f>C12-B209</f>
        <v>7247.5238399706113</v>
      </c>
      <c r="D209" s="76">
        <f t="shared" si="2"/>
        <v>1366901.4041835393</v>
      </c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4.25" customHeight="1" x14ac:dyDescent="0.15">
      <c r="A210" s="70">
        <v>192</v>
      </c>
      <c r="B210" s="80">
        <f t="shared" si="1"/>
        <v>1708.6267552294241</v>
      </c>
      <c r="C210" s="76">
        <f>C12-B210</f>
        <v>7256.5832447705752</v>
      </c>
      <c r="D210" s="76">
        <f t="shared" si="2"/>
        <v>1359644.8209387688</v>
      </c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4.25" customHeight="1" x14ac:dyDescent="0.15">
      <c r="A211" s="70">
        <v>193</v>
      </c>
      <c r="B211" s="80">
        <f t="shared" si="1"/>
        <v>1699.5560261734611</v>
      </c>
      <c r="C211" s="76">
        <f>C12-B211</f>
        <v>7265.6539738265383</v>
      </c>
      <c r="D211" s="76">
        <f t="shared" si="2"/>
        <v>1352379.1669649424</v>
      </c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4.25" customHeight="1" x14ac:dyDescent="0.15">
      <c r="A212" s="70">
        <v>194</v>
      </c>
      <c r="B212" s="80">
        <f t="shared" si="1"/>
        <v>1690.4739587061779</v>
      </c>
      <c r="C212" s="76">
        <f>C12-B212</f>
        <v>7274.7360412938215</v>
      </c>
      <c r="D212" s="76">
        <f t="shared" si="2"/>
        <v>1345104.4309236486</v>
      </c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4.25" customHeight="1" x14ac:dyDescent="0.15">
      <c r="A213" s="70">
        <v>195</v>
      </c>
      <c r="B213" s="80">
        <f t="shared" si="1"/>
        <v>1681.380538654561</v>
      </c>
      <c r="C213" s="76">
        <f>C12-B213</f>
        <v>7283.8294613454382</v>
      </c>
      <c r="D213" s="76">
        <f t="shared" si="2"/>
        <v>1337820.6014623032</v>
      </c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4.25" customHeight="1" x14ac:dyDescent="0.15">
      <c r="A214" s="70">
        <v>196</v>
      </c>
      <c r="B214" s="80">
        <f t="shared" si="1"/>
        <v>1672.275751827879</v>
      </c>
      <c r="C214" s="76">
        <f>C12-B214</f>
        <v>7292.9342481721196</v>
      </c>
      <c r="D214" s="76">
        <f t="shared" si="2"/>
        <v>1330527.667214131</v>
      </c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4.25" customHeight="1" x14ac:dyDescent="0.15">
      <c r="A215" s="70">
        <v>197</v>
      </c>
      <c r="B215" s="80">
        <f t="shared" si="1"/>
        <v>1663.1595840176637</v>
      </c>
      <c r="C215" s="76">
        <f>C12-B215</f>
        <v>7302.0504159823358</v>
      </c>
      <c r="D215" s="76">
        <f t="shared" si="2"/>
        <v>1323225.6167981487</v>
      </c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4.25" customHeight="1" x14ac:dyDescent="0.15">
      <c r="A216" s="70">
        <v>198</v>
      </c>
      <c r="B216" s="80">
        <f t="shared" si="1"/>
        <v>1654.0320209976858</v>
      </c>
      <c r="C216" s="76">
        <f>C12-B216</f>
        <v>7311.1779790023138</v>
      </c>
      <c r="D216" s="76">
        <f t="shared" si="2"/>
        <v>1315914.4388191465</v>
      </c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4.25" customHeight="1" x14ac:dyDescent="0.15">
      <c r="A217" s="70">
        <v>199</v>
      </c>
      <c r="B217" s="80">
        <f t="shared" si="1"/>
        <v>1644.893048523933</v>
      </c>
      <c r="C217" s="76">
        <f>C12-B217</f>
        <v>7320.3169514760666</v>
      </c>
      <c r="D217" s="76">
        <f t="shared" si="2"/>
        <v>1308594.1218676704</v>
      </c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4.25" customHeight="1" x14ac:dyDescent="0.15">
      <c r="A218" s="70">
        <v>200</v>
      </c>
      <c r="B218" s="80">
        <f t="shared" si="1"/>
        <v>1635.7426523345882</v>
      </c>
      <c r="C218" s="76">
        <f>C12-B218</f>
        <v>7329.4673476654107</v>
      </c>
      <c r="D218" s="76">
        <f t="shared" si="2"/>
        <v>1301264.654520005</v>
      </c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4.25" customHeight="1" x14ac:dyDescent="0.15">
      <c r="A219" s="70">
        <v>201</v>
      </c>
      <c r="B219" s="80">
        <f t="shared" si="1"/>
        <v>1626.5808181500065</v>
      </c>
      <c r="C219" s="76">
        <f>C12-B219</f>
        <v>7338.6291818499922</v>
      </c>
      <c r="D219" s="76">
        <f t="shared" si="2"/>
        <v>1293926.025338155</v>
      </c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4.25" customHeight="1" x14ac:dyDescent="0.15">
      <c r="A220" s="70">
        <v>202</v>
      </c>
      <c r="B220" s="80">
        <f t="shared" si="1"/>
        <v>1617.4075316726937</v>
      </c>
      <c r="C220" s="76">
        <f>C12-B220</f>
        <v>7347.8024683273052</v>
      </c>
      <c r="D220" s="76">
        <f t="shared" si="2"/>
        <v>1286578.2228698276</v>
      </c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4.25" customHeight="1" x14ac:dyDescent="0.15">
      <c r="A221" s="70">
        <v>203</v>
      </c>
      <c r="B221" s="80">
        <f t="shared" si="1"/>
        <v>1608.2227785872847</v>
      </c>
      <c r="C221" s="76">
        <f>C12-B221</f>
        <v>7356.9872214127145</v>
      </c>
      <c r="D221" s="76">
        <f t="shared" si="2"/>
        <v>1279221.2356484148</v>
      </c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4.25" customHeight="1" x14ac:dyDescent="0.15">
      <c r="A222" s="70">
        <v>204</v>
      </c>
      <c r="B222" s="80">
        <f t="shared" si="1"/>
        <v>1599.0265445605185</v>
      </c>
      <c r="C222" s="76">
        <f>C12-B222</f>
        <v>7366.1834554394809</v>
      </c>
      <c r="D222" s="76">
        <f t="shared" si="2"/>
        <v>1271855.0521929753</v>
      </c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4.25" customHeight="1" x14ac:dyDescent="0.15">
      <c r="A223" s="70">
        <v>205</v>
      </c>
      <c r="B223" s="80">
        <f t="shared" si="1"/>
        <v>1589.818815241219</v>
      </c>
      <c r="C223" s="76">
        <f>C12-B223</f>
        <v>7375.3911847587806</v>
      </c>
      <c r="D223" s="76">
        <f t="shared" si="2"/>
        <v>1264479.6610082164</v>
      </c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4.25" customHeight="1" x14ac:dyDescent="0.15">
      <c r="A224" s="70">
        <v>206</v>
      </c>
      <c r="B224" s="80">
        <f t="shared" si="1"/>
        <v>1580.5995762602704</v>
      </c>
      <c r="C224" s="76">
        <f>C12-B224</f>
        <v>7384.6104237397285</v>
      </c>
      <c r="D224" s="76">
        <f t="shared" si="2"/>
        <v>1257095.0505844767</v>
      </c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4.25" customHeight="1" x14ac:dyDescent="0.15">
      <c r="A225" s="70">
        <v>207</v>
      </c>
      <c r="B225" s="80">
        <f t="shared" si="1"/>
        <v>1571.3688132305958</v>
      </c>
      <c r="C225" s="76">
        <f>C12-B225</f>
        <v>7393.8411867694031</v>
      </c>
      <c r="D225" s="76">
        <f t="shared" si="2"/>
        <v>1249701.2093977074</v>
      </c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4.25" customHeight="1" x14ac:dyDescent="0.15">
      <c r="A226" s="70">
        <v>208</v>
      </c>
      <c r="B226" s="80">
        <f t="shared" si="1"/>
        <v>1562.1265117471341</v>
      </c>
      <c r="C226" s="76">
        <f>C12-B226</f>
        <v>7403.0834882528652</v>
      </c>
      <c r="D226" s="76">
        <f t="shared" si="2"/>
        <v>1242298.1259094544</v>
      </c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4.25" customHeight="1" x14ac:dyDescent="0.15">
      <c r="A227" s="70">
        <v>209</v>
      </c>
      <c r="B227" s="80">
        <f t="shared" si="1"/>
        <v>1552.872657386818</v>
      </c>
      <c r="C227" s="76">
        <f>C12-B227</f>
        <v>7412.3373426131811</v>
      </c>
      <c r="D227" s="76">
        <f t="shared" si="2"/>
        <v>1234885.7885668413</v>
      </c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4.25" customHeight="1" x14ac:dyDescent="0.15">
      <c r="A228" s="70">
        <v>210</v>
      </c>
      <c r="B228" s="80">
        <f t="shared" si="1"/>
        <v>1543.6072357085516</v>
      </c>
      <c r="C228" s="76">
        <f>C12-B228</f>
        <v>7421.6027642914478</v>
      </c>
      <c r="D228" s="76">
        <f t="shared" si="2"/>
        <v>1227464.1858025498</v>
      </c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4.25" customHeight="1" x14ac:dyDescent="0.15">
      <c r="A229" s="70">
        <v>211</v>
      </c>
      <c r="B229" s="80">
        <f t="shared" si="1"/>
        <v>1534.3302322531874</v>
      </c>
      <c r="C229" s="76">
        <f>C12-B229</f>
        <v>7430.8797677468119</v>
      </c>
      <c r="D229" s="76">
        <f t="shared" si="2"/>
        <v>1220033.3060348029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4.25" customHeight="1" x14ac:dyDescent="0.15">
      <c r="A230" s="70">
        <v>212</v>
      </c>
      <c r="B230" s="80">
        <f t="shared" si="1"/>
        <v>1525.0416325435037</v>
      </c>
      <c r="C230" s="76">
        <f>C12-B230</f>
        <v>7440.1683674564956</v>
      </c>
      <c r="D230" s="76">
        <f t="shared" si="2"/>
        <v>1212593.1376673465</v>
      </c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4.25" customHeight="1" x14ac:dyDescent="0.15">
      <c r="A231" s="70">
        <v>213</v>
      </c>
      <c r="B231" s="80">
        <f t="shared" si="1"/>
        <v>1515.7414220841831</v>
      </c>
      <c r="C231" s="76">
        <f>C12-B231</f>
        <v>7449.4685779158162</v>
      </c>
      <c r="D231" s="76">
        <f t="shared" si="2"/>
        <v>1205143.6690894307</v>
      </c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4.25" customHeight="1" x14ac:dyDescent="0.15">
      <c r="A232" s="70">
        <v>214</v>
      </c>
      <c r="B232" s="80">
        <f t="shared" si="1"/>
        <v>1506.4295863617883</v>
      </c>
      <c r="C232" s="76">
        <f>C12-B232</f>
        <v>7458.780413638211</v>
      </c>
      <c r="D232" s="76">
        <f t="shared" si="2"/>
        <v>1197684.8886757926</v>
      </c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4.25" customHeight="1" x14ac:dyDescent="0.15">
      <c r="A233" s="70">
        <v>215</v>
      </c>
      <c r="B233" s="80">
        <f t="shared" si="1"/>
        <v>1497.1061108447407</v>
      </c>
      <c r="C233" s="76">
        <f>C12-B233</f>
        <v>7468.103889155258</v>
      </c>
      <c r="D233" s="76">
        <f t="shared" si="2"/>
        <v>1190216.7847866374</v>
      </c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4.25" customHeight="1" x14ac:dyDescent="0.15">
      <c r="A234" s="70">
        <v>216</v>
      </c>
      <c r="B234" s="80">
        <f t="shared" si="1"/>
        <v>1487.7709809832968</v>
      </c>
      <c r="C234" s="76">
        <f>C12-B234</f>
        <v>7477.4390190167023</v>
      </c>
      <c r="D234" s="76">
        <f t="shared" si="2"/>
        <v>1182739.3457676207</v>
      </c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4.25" customHeight="1" x14ac:dyDescent="0.15">
      <c r="A235" s="70">
        <v>217</v>
      </c>
      <c r="B235" s="80">
        <f t="shared" si="1"/>
        <v>1478.424182209526</v>
      </c>
      <c r="C235" s="76">
        <f>C12-B235</f>
        <v>7486.7858177904727</v>
      </c>
      <c r="D235" s="76">
        <f t="shared" si="2"/>
        <v>1175252.5599498302</v>
      </c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4.25" customHeight="1" x14ac:dyDescent="0.15">
      <c r="A236" s="70">
        <v>218</v>
      </c>
      <c r="B236" s="80">
        <f t="shared" si="1"/>
        <v>1469.0656999372877</v>
      </c>
      <c r="C236" s="76">
        <f>C12-B236</f>
        <v>7496.1443000627114</v>
      </c>
      <c r="D236" s="76">
        <f t="shared" si="2"/>
        <v>1167756.4156497675</v>
      </c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4.25" customHeight="1" x14ac:dyDescent="0.15">
      <c r="A237" s="70">
        <v>219</v>
      </c>
      <c r="B237" s="80">
        <f t="shared" si="1"/>
        <v>1459.6955195622095</v>
      </c>
      <c r="C237" s="76">
        <f>C12-B237</f>
        <v>7505.5144804377896</v>
      </c>
      <c r="D237" s="76">
        <f t="shared" si="2"/>
        <v>1160250.9011693296</v>
      </c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4.25" customHeight="1" x14ac:dyDescent="0.15">
      <c r="A238" s="70">
        <v>220</v>
      </c>
      <c r="B238" s="80">
        <f t="shared" si="1"/>
        <v>1450.3136264616621</v>
      </c>
      <c r="C238" s="76">
        <f>C12-B238</f>
        <v>7514.8963735383368</v>
      </c>
      <c r="D238" s="76">
        <f t="shared" si="2"/>
        <v>1152736.0047957913</v>
      </c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4.25" customHeight="1" x14ac:dyDescent="0.15">
      <c r="A239" s="70">
        <v>221</v>
      </c>
      <c r="B239" s="80">
        <f t="shared" si="1"/>
        <v>1440.9200059947393</v>
      </c>
      <c r="C239" s="76">
        <f>C12-B239</f>
        <v>7524.2899940052594</v>
      </c>
      <c r="D239" s="76">
        <f t="shared" si="2"/>
        <v>1145211.714801786</v>
      </c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4.25" customHeight="1" x14ac:dyDescent="0.15">
      <c r="A240" s="70">
        <v>222</v>
      </c>
      <c r="B240" s="80">
        <f t="shared" si="1"/>
        <v>1431.5146435022325</v>
      </c>
      <c r="C240" s="76">
        <f>C12-B240</f>
        <v>7533.6953564977666</v>
      </c>
      <c r="D240" s="76">
        <f t="shared" si="2"/>
        <v>1137678.0194452882</v>
      </c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4.25" customHeight="1" x14ac:dyDescent="0.15">
      <c r="A241" s="70">
        <v>223</v>
      </c>
      <c r="B241" s="80">
        <f t="shared" si="1"/>
        <v>1422.0975243066105</v>
      </c>
      <c r="C241" s="76">
        <f>C12-B241</f>
        <v>7543.1124756933887</v>
      </c>
      <c r="D241" s="76">
        <f t="shared" si="2"/>
        <v>1130134.9069695948</v>
      </c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4.25" customHeight="1" x14ac:dyDescent="0.15">
      <c r="A242" s="70">
        <v>224</v>
      </c>
      <c r="B242" s="80">
        <f t="shared" si="1"/>
        <v>1412.6686337119936</v>
      </c>
      <c r="C242" s="76">
        <f>C12-B242</f>
        <v>7552.5413662880055</v>
      </c>
      <c r="D242" s="76">
        <f t="shared" si="2"/>
        <v>1122582.3656033068</v>
      </c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4.25" customHeight="1" x14ac:dyDescent="0.15">
      <c r="A243" s="70">
        <v>225</v>
      </c>
      <c r="B243" s="80">
        <f t="shared" si="1"/>
        <v>1403.2279570041335</v>
      </c>
      <c r="C243" s="76">
        <f>C12-B243</f>
        <v>7561.9820429958654</v>
      </c>
      <c r="D243" s="76">
        <f t="shared" si="2"/>
        <v>1115020.3835603108</v>
      </c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4.25" customHeight="1" x14ac:dyDescent="0.15">
      <c r="A244" s="70">
        <v>226</v>
      </c>
      <c r="B244" s="80">
        <f t="shared" si="1"/>
        <v>1393.7754794503887</v>
      </c>
      <c r="C244" s="76">
        <f>C12-B244</f>
        <v>7571.4345205496102</v>
      </c>
      <c r="D244" s="76">
        <f t="shared" si="2"/>
        <v>1107448.9490397612</v>
      </c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4.25" customHeight="1" x14ac:dyDescent="0.15">
      <c r="A245" s="70">
        <v>227</v>
      </c>
      <c r="B245" s="80">
        <f t="shared" si="1"/>
        <v>1384.3111862997016</v>
      </c>
      <c r="C245" s="76">
        <f>C12-B245</f>
        <v>7580.898813700298</v>
      </c>
      <c r="D245" s="76">
        <f t="shared" si="2"/>
        <v>1099868.0502260609</v>
      </c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4.25" customHeight="1" x14ac:dyDescent="0.15">
      <c r="A246" s="70">
        <v>228</v>
      </c>
      <c r="B246" s="80">
        <f t="shared" si="1"/>
        <v>1374.8350627825762</v>
      </c>
      <c r="C246" s="76">
        <f>C12-B246</f>
        <v>7590.3749372174225</v>
      </c>
      <c r="D246" s="76">
        <f t="shared" si="2"/>
        <v>1092277.6752888435</v>
      </c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4.25" customHeight="1" x14ac:dyDescent="0.15">
      <c r="A247" s="70">
        <v>229</v>
      </c>
      <c r="B247" s="80">
        <f t="shared" si="1"/>
        <v>1365.3470941110545</v>
      </c>
      <c r="C247" s="76">
        <f>C12-B247</f>
        <v>7599.8629058889446</v>
      </c>
      <c r="D247" s="76">
        <f t="shared" si="2"/>
        <v>1084677.8123829544</v>
      </c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4.25" customHeight="1" x14ac:dyDescent="0.15">
      <c r="A248" s="70">
        <v>230</v>
      </c>
      <c r="B248" s="80">
        <f t="shared" si="1"/>
        <v>1355.8472654786931</v>
      </c>
      <c r="C248" s="76">
        <f>C12-B248</f>
        <v>7609.3627345213063</v>
      </c>
      <c r="D248" s="76">
        <f t="shared" si="2"/>
        <v>1077068.4496484331</v>
      </c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4.25" customHeight="1" x14ac:dyDescent="0.15">
      <c r="A249" s="70">
        <v>231</v>
      </c>
      <c r="B249" s="80">
        <f t="shared" si="1"/>
        <v>1346.3355620605414</v>
      </c>
      <c r="C249" s="76">
        <f>C12-B249</f>
        <v>7618.8744379394575</v>
      </c>
      <c r="D249" s="76">
        <f t="shared" si="2"/>
        <v>1069449.5752104938</v>
      </c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4.25" customHeight="1" x14ac:dyDescent="0.15">
      <c r="A250" s="70">
        <v>232</v>
      </c>
      <c r="B250" s="80">
        <f t="shared" si="1"/>
        <v>1336.8119690131173</v>
      </c>
      <c r="C250" s="76">
        <f>C12-B250</f>
        <v>7628.3980309868821</v>
      </c>
      <c r="D250" s="76">
        <f t="shared" si="2"/>
        <v>1061821.177179507</v>
      </c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4.25" customHeight="1" x14ac:dyDescent="0.15">
      <c r="A251" s="70">
        <v>233</v>
      </c>
      <c r="B251" s="80">
        <f t="shared" si="1"/>
        <v>1327.2764714743837</v>
      </c>
      <c r="C251" s="76">
        <f>C12-B251</f>
        <v>7637.9335285256157</v>
      </c>
      <c r="D251" s="76">
        <f t="shared" si="2"/>
        <v>1054183.2436509815</v>
      </c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4.25" customHeight="1" x14ac:dyDescent="0.15">
      <c r="A252" s="70">
        <v>234</v>
      </c>
      <c r="B252" s="80">
        <f t="shared" si="1"/>
        <v>1317.729054563727</v>
      </c>
      <c r="C252" s="76">
        <f>C12-B252</f>
        <v>7647.4809454362721</v>
      </c>
      <c r="D252" s="76">
        <f t="shared" si="2"/>
        <v>1046535.7627055452</v>
      </c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4.25" customHeight="1" x14ac:dyDescent="0.15">
      <c r="A253" s="70">
        <v>235</v>
      </c>
      <c r="B253" s="80">
        <f t="shared" si="1"/>
        <v>1308.1697033819314</v>
      </c>
      <c r="C253" s="76">
        <f>C12-B253</f>
        <v>7657.0402966180682</v>
      </c>
      <c r="D253" s="76">
        <f t="shared" si="2"/>
        <v>1038878.7224089272</v>
      </c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4.25" customHeight="1" x14ac:dyDescent="0.15">
      <c r="A254" s="70">
        <v>236</v>
      </c>
      <c r="B254" s="80">
        <f t="shared" si="1"/>
        <v>1298.598403011159</v>
      </c>
      <c r="C254" s="76">
        <f>C12-B254</f>
        <v>7666.6115969888397</v>
      </c>
      <c r="D254" s="76">
        <f t="shared" si="2"/>
        <v>1031212.1108119383</v>
      </c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4.25" customHeight="1" x14ac:dyDescent="0.15">
      <c r="A255" s="70">
        <v>237</v>
      </c>
      <c r="B255" s="80">
        <f t="shared" si="1"/>
        <v>1289.0151385149229</v>
      </c>
      <c r="C255" s="76">
        <f>C12-B255</f>
        <v>7676.1948614850762</v>
      </c>
      <c r="D255" s="76">
        <f t="shared" si="2"/>
        <v>1023535.9159504533</v>
      </c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4.25" customHeight="1" x14ac:dyDescent="0.15">
      <c r="A256" s="70">
        <v>238</v>
      </c>
      <c r="B256" s="80">
        <f t="shared" si="1"/>
        <v>1279.4198949380666</v>
      </c>
      <c r="C256" s="76">
        <f>C12-B256</f>
        <v>7685.790105061933</v>
      </c>
      <c r="D256" s="76">
        <f t="shared" si="2"/>
        <v>1015850.1258453913</v>
      </c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4.25" customHeight="1" x14ac:dyDescent="0.15">
      <c r="A257" s="70">
        <v>239</v>
      </c>
      <c r="B257" s="80">
        <f t="shared" si="1"/>
        <v>1269.8126573067393</v>
      </c>
      <c r="C257" s="76">
        <f>C12-B257</f>
        <v>7695.3973426932598</v>
      </c>
      <c r="D257" s="76">
        <f t="shared" si="2"/>
        <v>1008154.728502698</v>
      </c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4.25" customHeight="1" x14ac:dyDescent="0.15">
      <c r="A258" s="70">
        <v>240</v>
      </c>
      <c r="B258" s="80">
        <f t="shared" si="1"/>
        <v>1260.1934106283725</v>
      </c>
      <c r="C258" s="76">
        <f>C12-B258</f>
        <v>7705.0165893716267</v>
      </c>
      <c r="D258" s="76">
        <f t="shared" si="2"/>
        <v>1000449.7119133264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4.25" customHeight="1" x14ac:dyDescent="0.15">
      <c r="A259" s="70">
        <v>241</v>
      </c>
      <c r="B259" s="80">
        <f t="shared" si="1"/>
        <v>1250.562139891658</v>
      </c>
      <c r="C259" s="76">
        <f>C12-B259</f>
        <v>7714.6478601083409</v>
      </c>
      <c r="D259" s="76">
        <f t="shared" si="2"/>
        <v>992735.06405321811</v>
      </c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4.25" customHeight="1" x14ac:dyDescent="0.15">
      <c r="A260" s="70">
        <v>242</v>
      </c>
      <c r="B260" s="80">
        <f t="shared" si="1"/>
        <v>1240.9188300665226</v>
      </c>
      <c r="C260" s="76">
        <f>C12-B260</f>
        <v>7724.2911699334763</v>
      </c>
      <c r="D260" s="76">
        <f t="shared" si="2"/>
        <v>985010.7728832846</v>
      </c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4.25" customHeight="1" x14ac:dyDescent="0.15">
      <c r="A261" s="70">
        <v>243</v>
      </c>
      <c r="B261" s="80">
        <f t="shared" si="1"/>
        <v>1231.2634661041059</v>
      </c>
      <c r="C261" s="76">
        <f>C12-B261</f>
        <v>7733.9465338958935</v>
      </c>
      <c r="D261" s="76">
        <f t="shared" si="2"/>
        <v>977276.82634938869</v>
      </c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4.25" customHeight="1" x14ac:dyDescent="0.15">
      <c r="A262" s="70">
        <v>244</v>
      </c>
      <c r="B262" s="80">
        <f t="shared" si="1"/>
        <v>1221.5960329367358</v>
      </c>
      <c r="C262" s="76">
        <f>C12-B262</f>
        <v>7743.6139670632638</v>
      </c>
      <c r="D262" s="76">
        <f t="shared" si="2"/>
        <v>969533.21238232544</v>
      </c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4.25" customHeight="1" x14ac:dyDescent="0.15">
      <c r="A263" s="70">
        <v>245</v>
      </c>
      <c r="B263" s="80">
        <f t="shared" si="1"/>
        <v>1211.9165154779068</v>
      </c>
      <c r="C263" s="76">
        <f>C12-B263</f>
        <v>7753.2934845220925</v>
      </c>
      <c r="D263" s="76">
        <f t="shared" si="2"/>
        <v>961779.91889780329</v>
      </c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4.25" customHeight="1" x14ac:dyDescent="0.15">
      <c r="A264" s="70">
        <v>246</v>
      </c>
      <c r="B264" s="80">
        <f t="shared" si="1"/>
        <v>1202.2248986222542</v>
      </c>
      <c r="C264" s="76">
        <f>C12-B264</f>
        <v>7762.9851013777452</v>
      </c>
      <c r="D264" s="76">
        <f t="shared" si="2"/>
        <v>954016.93379642558</v>
      </c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4.25" customHeight="1" x14ac:dyDescent="0.15">
      <c r="A265" s="70">
        <v>247</v>
      </c>
      <c r="B265" s="80">
        <f t="shared" si="1"/>
        <v>1192.5211672455321</v>
      </c>
      <c r="C265" s="76">
        <f>C12-B265</f>
        <v>7772.6888327544675</v>
      </c>
      <c r="D265" s="76">
        <f t="shared" si="2"/>
        <v>946244.24496367108</v>
      </c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4.25" customHeight="1" x14ac:dyDescent="0.15">
      <c r="A266" s="70">
        <v>248</v>
      </c>
      <c r="B266" s="80">
        <f t="shared" si="1"/>
        <v>1182.805306204589</v>
      </c>
      <c r="C266" s="76">
        <f>C12-B266</f>
        <v>7782.4046937954099</v>
      </c>
      <c r="D266" s="76">
        <f t="shared" si="2"/>
        <v>938461.84026987571</v>
      </c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4.25" customHeight="1" x14ac:dyDescent="0.15">
      <c r="A267" s="70">
        <v>249</v>
      </c>
      <c r="B267" s="80">
        <f t="shared" si="1"/>
        <v>1173.0773003373447</v>
      </c>
      <c r="C267" s="76">
        <f>C12-B267</f>
        <v>7792.132699662654</v>
      </c>
      <c r="D267" s="76">
        <f t="shared" si="2"/>
        <v>930669.70757021301</v>
      </c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4.25" customHeight="1" x14ac:dyDescent="0.15">
      <c r="A268" s="70">
        <v>250</v>
      </c>
      <c r="B268" s="80">
        <f t="shared" si="1"/>
        <v>1163.3371344627662</v>
      </c>
      <c r="C268" s="76">
        <f>C12-B268</f>
        <v>7801.8728655372324</v>
      </c>
      <c r="D268" s="76">
        <f t="shared" si="2"/>
        <v>922867.83470467583</v>
      </c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4.25" customHeight="1" x14ac:dyDescent="0.15">
      <c r="A269" s="70">
        <v>251</v>
      </c>
      <c r="B269" s="80">
        <f t="shared" si="1"/>
        <v>1153.584793380845</v>
      </c>
      <c r="C269" s="76">
        <f>C12-B269</f>
        <v>7811.6252066191537</v>
      </c>
      <c r="D269" s="76">
        <f t="shared" si="2"/>
        <v>915056.20949805668</v>
      </c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4.25" customHeight="1" x14ac:dyDescent="0.15">
      <c r="A270" s="70">
        <v>252</v>
      </c>
      <c r="B270" s="80">
        <f t="shared" si="1"/>
        <v>1143.8202618725709</v>
      </c>
      <c r="C270" s="76">
        <f>C12-B270</f>
        <v>7821.3897381274282</v>
      </c>
      <c r="D270" s="76">
        <f t="shared" si="2"/>
        <v>907234.8197599292</v>
      </c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4.25" customHeight="1" x14ac:dyDescent="0.15">
      <c r="A271" s="70">
        <v>253</v>
      </c>
      <c r="B271" s="80">
        <f t="shared" si="1"/>
        <v>1134.0435246999116</v>
      </c>
      <c r="C271" s="76">
        <f>C12-B271</f>
        <v>7831.1664753000878</v>
      </c>
      <c r="D271" s="76">
        <f t="shared" si="2"/>
        <v>899403.65328462911</v>
      </c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4.25" customHeight="1" x14ac:dyDescent="0.15">
      <c r="A272" s="70">
        <v>254</v>
      </c>
      <c r="B272" s="80">
        <f t="shared" si="1"/>
        <v>1124.2545666057865</v>
      </c>
      <c r="C272" s="76">
        <f>C12-B272</f>
        <v>7840.9554333942124</v>
      </c>
      <c r="D272" s="76">
        <f t="shared" si="2"/>
        <v>891562.69785123493</v>
      </c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4.25" customHeight="1" x14ac:dyDescent="0.15">
      <c r="A273" s="70">
        <v>255</v>
      </c>
      <c r="B273" s="80">
        <f t="shared" si="1"/>
        <v>1114.4533723140437</v>
      </c>
      <c r="C273" s="76">
        <f>C12-B273</f>
        <v>7850.7566276859552</v>
      </c>
      <c r="D273" s="76">
        <f t="shared" si="2"/>
        <v>883711.94122354896</v>
      </c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4.25" customHeight="1" x14ac:dyDescent="0.15">
      <c r="A274" s="70">
        <v>256</v>
      </c>
      <c r="B274" s="80">
        <f t="shared" si="1"/>
        <v>1104.6399265294363</v>
      </c>
      <c r="C274" s="76">
        <f>C12-B274</f>
        <v>7860.5700734705624</v>
      </c>
      <c r="D274" s="76">
        <f t="shared" si="2"/>
        <v>875851.37115007837</v>
      </c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4.25" customHeight="1" x14ac:dyDescent="0.15">
      <c r="A275" s="70">
        <v>257</v>
      </c>
      <c r="B275" s="80">
        <f t="shared" ref="B275:B529" si="3">D274*$C$9/26</f>
        <v>1094.814213937598</v>
      </c>
      <c r="C275" s="76">
        <f>C12-B275</f>
        <v>7870.3957860624014</v>
      </c>
      <c r="D275" s="76">
        <f t="shared" ref="D275:D529" si="4">D274-C275</f>
        <v>867980.97536401602</v>
      </c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4.25" customHeight="1" x14ac:dyDescent="0.15">
      <c r="A276" s="70">
        <v>258</v>
      </c>
      <c r="B276" s="80">
        <f t="shared" si="3"/>
        <v>1084.97621920502</v>
      </c>
      <c r="C276" s="76">
        <f>C12-B276</f>
        <v>7880.2337807949789</v>
      </c>
      <c r="D276" s="76">
        <f t="shared" si="4"/>
        <v>860100.74158322101</v>
      </c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4.25" customHeight="1" x14ac:dyDescent="0.15">
      <c r="A277" s="70">
        <v>259</v>
      </c>
      <c r="B277" s="80">
        <f t="shared" si="3"/>
        <v>1075.1259269790264</v>
      </c>
      <c r="C277" s="76">
        <f>C12-B277</f>
        <v>7890.0840730209729</v>
      </c>
      <c r="D277" s="76">
        <f t="shared" si="4"/>
        <v>852210.65751020005</v>
      </c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4.25" customHeight="1" x14ac:dyDescent="0.15">
      <c r="A278" s="70">
        <v>260</v>
      </c>
      <c r="B278" s="80">
        <f t="shared" si="3"/>
        <v>1065.2633218877502</v>
      </c>
      <c r="C278" s="76">
        <f>C12-B278</f>
        <v>7899.9466781122492</v>
      </c>
      <c r="D278" s="76">
        <f t="shared" si="4"/>
        <v>844310.71083208779</v>
      </c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4.25" customHeight="1" x14ac:dyDescent="0.15">
      <c r="A279" s="70">
        <v>261</v>
      </c>
      <c r="B279" s="80">
        <f t="shared" si="3"/>
        <v>1055.3883885401099</v>
      </c>
      <c r="C279" s="76">
        <f>C12-B279</f>
        <v>7909.821611459889</v>
      </c>
      <c r="D279" s="76">
        <f t="shared" si="4"/>
        <v>836400.88922062796</v>
      </c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4.25" customHeight="1" x14ac:dyDescent="0.15">
      <c r="A280" s="70">
        <v>262</v>
      </c>
      <c r="B280" s="80">
        <f t="shared" si="3"/>
        <v>1045.5011115257851</v>
      </c>
      <c r="C280" s="76">
        <f>C12-B280</f>
        <v>7919.7088884742143</v>
      </c>
      <c r="D280" s="76">
        <f t="shared" si="4"/>
        <v>828481.18033215369</v>
      </c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4.25" customHeight="1" x14ac:dyDescent="0.15">
      <c r="A281" s="70">
        <v>263</v>
      </c>
      <c r="B281" s="80">
        <f t="shared" si="3"/>
        <v>1035.6014754151922</v>
      </c>
      <c r="C281" s="76">
        <f>C12-B281</f>
        <v>7929.6085245848071</v>
      </c>
      <c r="D281" s="76">
        <f t="shared" si="4"/>
        <v>820551.57180756889</v>
      </c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4.25" customHeight="1" x14ac:dyDescent="0.15">
      <c r="A282" s="70">
        <v>264</v>
      </c>
      <c r="B282" s="80">
        <f t="shared" si="3"/>
        <v>1025.6894647594613</v>
      </c>
      <c r="C282" s="76">
        <f>C12-B282</f>
        <v>7939.5205352405374</v>
      </c>
      <c r="D282" s="76">
        <f t="shared" si="4"/>
        <v>812612.05127232836</v>
      </c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4.25" customHeight="1" x14ac:dyDescent="0.15">
      <c r="A283" s="70">
        <v>265</v>
      </c>
      <c r="B283" s="80">
        <f t="shared" si="3"/>
        <v>1015.7650640904104</v>
      </c>
      <c r="C283" s="76">
        <f>C12-B283</f>
        <v>7949.4449359095888</v>
      </c>
      <c r="D283" s="76">
        <f t="shared" si="4"/>
        <v>804662.60633641877</v>
      </c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4.25" customHeight="1" x14ac:dyDescent="0.15">
      <c r="A284" s="70">
        <v>266</v>
      </c>
      <c r="B284" s="80">
        <f t="shared" si="3"/>
        <v>1005.8282579205236</v>
      </c>
      <c r="C284" s="76">
        <f>C12-B284</f>
        <v>7959.3817420794758</v>
      </c>
      <c r="D284" s="76">
        <f t="shared" si="4"/>
        <v>796703.22459433926</v>
      </c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4.25" customHeight="1" x14ac:dyDescent="0.15">
      <c r="A285" s="70">
        <v>267</v>
      </c>
      <c r="B285" s="80">
        <f t="shared" si="3"/>
        <v>995.87903074292421</v>
      </c>
      <c r="C285" s="76">
        <f>C12-B285</f>
        <v>7969.3309692570747</v>
      </c>
      <c r="D285" s="76">
        <f t="shared" si="4"/>
        <v>788733.89362508222</v>
      </c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4.25" customHeight="1" x14ac:dyDescent="0.15">
      <c r="A286" s="70">
        <v>268</v>
      </c>
      <c r="B286" s="80">
        <f t="shared" si="3"/>
        <v>985.9173670313528</v>
      </c>
      <c r="C286" s="76">
        <f>C12-B286</f>
        <v>7979.2926329686461</v>
      </c>
      <c r="D286" s="76">
        <f t="shared" si="4"/>
        <v>780754.60099211358</v>
      </c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4.25" customHeight="1" x14ac:dyDescent="0.15">
      <c r="A287" s="70">
        <v>269</v>
      </c>
      <c r="B287" s="80">
        <f t="shared" si="3"/>
        <v>975.94325124014199</v>
      </c>
      <c r="C287" s="76">
        <f>C12-B287</f>
        <v>7989.2667487598574</v>
      </c>
      <c r="D287" s="76">
        <f t="shared" si="4"/>
        <v>772765.33424335369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4.25" customHeight="1" x14ac:dyDescent="0.15">
      <c r="A288" s="70">
        <v>270</v>
      </c>
      <c r="B288" s="80">
        <f t="shared" si="3"/>
        <v>965.95666780419208</v>
      </c>
      <c r="C288" s="76">
        <f>C12-B288</f>
        <v>7999.2533321958072</v>
      </c>
      <c r="D288" s="76">
        <f t="shared" si="4"/>
        <v>764766.08091115789</v>
      </c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4.25" customHeight="1" x14ac:dyDescent="0.15">
      <c r="A289" s="70">
        <v>271</v>
      </c>
      <c r="B289" s="80">
        <f t="shared" si="3"/>
        <v>955.95760113894733</v>
      </c>
      <c r="C289" s="76">
        <f>C12-B289</f>
        <v>8009.2523988610519</v>
      </c>
      <c r="D289" s="76">
        <f t="shared" si="4"/>
        <v>756756.82851229678</v>
      </c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4.25" customHeight="1" x14ac:dyDescent="0.15">
      <c r="A290" s="70">
        <v>272</v>
      </c>
      <c r="B290" s="80">
        <f t="shared" si="3"/>
        <v>945.94603564037106</v>
      </c>
      <c r="C290" s="76">
        <f>C12-B290</f>
        <v>8019.2639643596285</v>
      </c>
      <c r="D290" s="76">
        <f t="shared" si="4"/>
        <v>748737.56454793713</v>
      </c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4.25" customHeight="1" x14ac:dyDescent="0.15">
      <c r="A291" s="70">
        <v>273</v>
      </c>
      <c r="B291" s="80">
        <f t="shared" si="3"/>
        <v>935.9219556849215</v>
      </c>
      <c r="C291" s="76">
        <f>C12-B291</f>
        <v>8029.288044315078</v>
      </c>
      <c r="D291" s="76">
        <f t="shared" si="4"/>
        <v>740708.27650362207</v>
      </c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4.25" customHeight="1" x14ac:dyDescent="0.15">
      <c r="A292" s="70">
        <v>274</v>
      </c>
      <c r="B292" s="80">
        <f t="shared" si="3"/>
        <v>925.88534562952759</v>
      </c>
      <c r="C292" s="76">
        <f>C12-B292</f>
        <v>8039.3246543704718</v>
      </c>
      <c r="D292" s="76">
        <f t="shared" si="4"/>
        <v>732668.95184925164</v>
      </c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4.25" customHeight="1" x14ac:dyDescent="0.15">
      <c r="A293" s="70">
        <v>275</v>
      </c>
      <c r="B293" s="80">
        <f t="shared" si="3"/>
        <v>915.83618981156462</v>
      </c>
      <c r="C293" s="76">
        <f>C12-B293</f>
        <v>8049.3738101884346</v>
      </c>
      <c r="D293" s="76">
        <f t="shared" si="4"/>
        <v>724619.57803906326</v>
      </c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4.25" customHeight="1" x14ac:dyDescent="0.15">
      <c r="A294" s="70">
        <v>276</v>
      </c>
      <c r="B294" s="80">
        <f t="shared" si="3"/>
        <v>905.77447254882907</v>
      </c>
      <c r="C294" s="76">
        <f>C12-B294</f>
        <v>8059.4355274511699</v>
      </c>
      <c r="D294" s="76">
        <f t="shared" si="4"/>
        <v>716560.14251161204</v>
      </c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4.25" customHeight="1" x14ac:dyDescent="0.15">
      <c r="A295" s="70">
        <v>277</v>
      </c>
      <c r="B295" s="80">
        <f t="shared" si="3"/>
        <v>895.70017813951506</v>
      </c>
      <c r="C295" s="76">
        <f>C12-B295</f>
        <v>8069.5098218604844</v>
      </c>
      <c r="D295" s="76">
        <f t="shared" si="4"/>
        <v>708490.63268975157</v>
      </c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4.25" customHeight="1" x14ac:dyDescent="0.15">
      <c r="A296" s="70">
        <v>278</v>
      </c>
      <c r="B296" s="80">
        <f t="shared" si="3"/>
        <v>885.6132908621895</v>
      </c>
      <c r="C296" s="76">
        <f>C12-B296</f>
        <v>8079.5967091378097</v>
      </c>
      <c r="D296" s="76">
        <f t="shared" si="4"/>
        <v>700411.03598061379</v>
      </c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4.25" customHeight="1" x14ac:dyDescent="0.15">
      <c r="A297" s="70">
        <v>279</v>
      </c>
      <c r="B297" s="80">
        <f t="shared" si="3"/>
        <v>875.51379497576715</v>
      </c>
      <c r="C297" s="76">
        <f>C12-B297</f>
        <v>8089.6962050242319</v>
      </c>
      <c r="D297" s="76">
        <f t="shared" si="4"/>
        <v>692321.33977558953</v>
      </c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4.25" customHeight="1" x14ac:dyDescent="0.15">
      <c r="A298" s="70">
        <v>280</v>
      </c>
      <c r="B298" s="80">
        <f t="shared" si="3"/>
        <v>865.40167471948689</v>
      </c>
      <c r="C298" s="76">
        <f>C12-B298</f>
        <v>8099.8083252805118</v>
      </c>
      <c r="D298" s="76">
        <f t="shared" si="4"/>
        <v>684221.53145030898</v>
      </c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4.25" customHeight="1" x14ac:dyDescent="0.15">
      <c r="A299" s="70">
        <v>281</v>
      </c>
      <c r="B299" s="80">
        <f t="shared" si="3"/>
        <v>855.27691431288622</v>
      </c>
      <c r="C299" s="76">
        <f>C12-B299</f>
        <v>8109.9330856871129</v>
      </c>
      <c r="D299" s="76">
        <f t="shared" si="4"/>
        <v>676111.59836462187</v>
      </c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4.25" customHeight="1" x14ac:dyDescent="0.15">
      <c r="A300" s="70">
        <v>282</v>
      </c>
      <c r="B300" s="80">
        <f t="shared" si="3"/>
        <v>845.1394979557773</v>
      </c>
      <c r="C300" s="76">
        <f>C12-B300</f>
        <v>8120.0705020442219</v>
      </c>
      <c r="D300" s="76">
        <f t="shared" si="4"/>
        <v>667991.5278625777</v>
      </c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4.25" customHeight="1" x14ac:dyDescent="0.15">
      <c r="A301" s="70">
        <v>283</v>
      </c>
      <c r="B301" s="80">
        <f t="shared" si="3"/>
        <v>834.98940982822216</v>
      </c>
      <c r="C301" s="76">
        <f>C12-B301</f>
        <v>8130.2205901717771</v>
      </c>
      <c r="D301" s="76">
        <f t="shared" si="4"/>
        <v>659861.30727240595</v>
      </c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4.25" customHeight="1" x14ac:dyDescent="0.15">
      <c r="A302" s="70">
        <v>284</v>
      </c>
      <c r="B302" s="80">
        <f t="shared" si="3"/>
        <v>824.82663409050735</v>
      </c>
      <c r="C302" s="76">
        <f>C12-B302</f>
        <v>8140.3833659094917</v>
      </c>
      <c r="D302" s="76">
        <f t="shared" si="4"/>
        <v>651720.92390649649</v>
      </c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4.25" customHeight="1" x14ac:dyDescent="0.15">
      <c r="A303" s="70">
        <v>285</v>
      </c>
      <c r="B303" s="80">
        <f t="shared" si="3"/>
        <v>814.65115488312063</v>
      </c>
      <c r="C303" s="76">
        <f>C12-B303</f>
        <v>8150.5588451168787</v>
      </c>
      <c r="D303" s="76">
        <f t="shared" si="4"/>
        <v>643570.36506137962</v>
      </c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4.25" customHeight="1" x14ac:dyDescent="0.15">
      <c r="A304" s="70">
        <v>286</v>
      </c>
      <c r="B304" s="80">
        <f t="shared" si="3"/>
        <v>804.46295632672457</v>
      </c>
      <c r="C304" s="76">
        <f>C12-B304</f>
        <v>8160.7470436732747</v>
      </c>
      <c r="D304" s="76">
        <f t="shared" si="4"/>
        <v>635409.61801770632</v>
      </c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4.25" customHeight="1" x14ac:dyDescent="0.15">
      <c r="A305" s="70">
        <v>287</v>
      </c>
      <c r="B305" s="80">
        <f t="shared" si="3"/>
        <v>794.26202252213284</v>
      </c>
      <c r="C305" s="76">
        <f>C12-B305</f>
        <v>8170.9479774778665</v>
      </c>
      <c r="D305" s="76">
        <f t="shared" si="4"/>
        <v>627238.6700402284</v>
      </c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4.25" customHeight="1" x14ac:dyDescent="0.15">
      <c r="A306" s="70">
        <v>288</v>
      </c>
      <c r="B306" s="80">
        <f t="shared" si="3"/>
        <v>784.04833755028551</v>
      </c>
      <c r="C306" s="76">
        <f>C12-B306</f>
        <v>8181.1616624497137</v>
      </c>
      <c r="D306" s="76">
        <f t="shared" si="4"/>
        <v>619057.50837777869</v>
      </c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4.25" customHeight="1" x14ac:dyDescent="0.15">
      <c r="A307" s="70">
        <v>289</v>
      </c>
      <c r="B307" s="80">
        <f t="shared" si="3"/>
        <v>773.82188547222347</v>
      </c>
      <c r="C307" s="76">
        <f>C12-B307</f>
        <v>8191.3881145277755</v>
      </c>
      <c r="D307" s="76">
        <f t="shared" si="4"/>
        <v>610866.12026325089</v>
      </c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4.25" customHeight="1" x14ac:dyDescent="0.15">
      <c r="A308" s="70">
        <v>290</v>
      </c>
      <c r="B308" s="80">
        <f t="shared" si="3"/>
        <v>763.58265032906354</v>
      </c>
      <c r="C308" s="76">
        <f>C12-B308</f>
        <v>8201.6273496709364</v>
      </c>
      <c r="D308" s="76">
        <f t="shared" si="4"/>
        <v>602664.49291357992</v>
      </c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4.25" customHeight="1" x14ac:dyDescent="0.15">
      <c r="A309" s="70">
        <v>291</v>
      </c>
      <c r="B309" s="80">
        <f t="shared" si="3"/>
        <v>753.33061614197493</v>
      </c>
      <c r="C309" s="76">
        <f>C12-B309</f>
        <v>8211.8793838580241</v>
      </c>
      <c r="D309" s="76">
        <f t="shared" si="4"/>
        <v>594452.61352972186</v>
      </c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4.25" customHeight="1" x14ac:dyDescent="0.15">
      <c r="A310" s="70">
        <v>292</v>
      </c>
      <c r="B310" s="80">
        <f t="shared" si="3"/>
        <v>743.06576691215241</v>
      </c>
      <c r="C310" s="76">
        <f>C12-B310</f>
        <v>8222.1442330878472</v>
      </c>
      <c r="D310" s="76">
        <f t="shared" si="4"/>
        <v>586230.46929663396</v>
      </c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4.25" customHeight="1" x14ac:dyDescent="0.15">
      <c r="A311" s="70">
        <v>293</v>
      </c>
      <c r="B311" s="80">
        <f t="shared" si="3"/>
        <v>732.78808662079246</v>
      </c>
      <c r="C311" s="76">
        <f>C12-B311</f>
        <v>8232.4219133792067</v>
      </c>
      <c r="D311" s="76">
        <f t="shared" si="4"/>
        <v>577998.04738325474</v>
      </c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4.25" customHeight="1" x14ac:dyDescent="0.15">
      <c r="A312" s="70">
        <v>294</v>
      </c>
      <c r="B312" s="80">
        <f t="shared" si="3"/>
        <v>722.49755922906843</v>
      </c>
      <c r="C312" s="76">
        <f>C12-B312</f>
        <v>8242.7124407709307</v>
      </c>
      <c r="D312" s="76">
        <f t="shared" si="4"/>
        <v>569755.33494248381</v>
      </c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4.25" customHeight="1" x14ac:dyDescent="0.15">
      <c r="A313" s="70">
        <v>295</v>
      </c>
      <c r="B313" s="80">
        <f t="shared" si="3"/>
        <v>712.1941686781048</v>
      </c>
      <c r="C313" s="76">
        <f>C12-B313</f>
        <v>8253.0158313218944</v>
      </c>
      <c r="D313" s="76">
        <f t="shared" si="4"/>
        <v>561502.31911116187</v>
      </c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4.25" customHeight="1" x14ac:dyDescent="0.15">
      <c r="A314" s="70">
        <v>296</v>
      </c>
      <c r="B314" s="80">
        <f t="shared" si="3"/>
        <v>701.87789888895236</v>
      </c>
      <c r="C314" s="76">
        <f>C12-B314</f>
        <v>8263.3321011110475</v>
      </c>
      <c r="D314" s="76">
        <f t="shared" si="4"/>
        <v>553238.9870100508</v>
      </c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4.25" customHeight="1" x14ac:dyDescent="0.15">
      <c r="A315" s="70">
        <v>297</v>
      </c>
      <c r="B315" s="80">
        <f t="shared" si="3"/>
        <v>691.54873376256353</v>
      </c>
      <c r="C315" s="76">
        <f>C12-B315</f>
        <v>8273.6612662374355</v>
      </c>
      <c r="D315" s="76">
        <f t="shared" si="4"/>
        <v>544965.32574381342</v>
      </c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4.25" customHeight="1" x14ac:dyDescent="0.15">
      <c r="A316" s="70">
        <v>298</v>
      </c>
      <c r="B316" s="80">
        <f t="shared" si="3"/>
        <v>681.20665717976669</v>
      </c>
      <c r="C316" s="76">
        <f>C12-B316</f>
        <v>8284.0033428202332</v>
      </c>
      <c r="D316" s="76">
        <f t="shared" si="4"/>
        <v>536681.3224009932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4.25" customHeight="1" x14ac:dyDescent="0.15">
      <c r="A317" s="70">
        <v>299</v>
      </c>
      <c r="B317" s="80">
        <f t="shared" si="3"/>
        <v>670.85165300124152</v>
      </c>
      <c r="C317" s="76">
        <f>C12-B317</f>
        <v>8294.358346998757</v>
      </c>
      <c r="D317" s="76">
        <f t="shared" si="4"/>
        <v>528386.96405399439</v>
      </c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4.25" customHeight="1" x14ac:dyDescent="0.15">
      <c r="A318" s="70">
        <v>300</v>
      </c>
      <c r="B318" s="80">
        <f t="shared" si="3"/>
        <v>660.48370506749302</v>
      </c>
      <c r="C318" s="76">
        <f>C12-B318</f>
        <v>8304.7262949325068</v>
      </c>
      <c r="D318" s="76">
        <f t="shared" si="4"/>
        <v>520082.23775906191</v>
      </c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4.25" customHeight="1" x14ac:dyDescent="0.15">
      <c r="A319" s="70">
        <v>301</v>
      </c>
      <c r="B319" s="80">
        <f t="shared" si="3"/>
        <v>650.10279719882737</v>
      </c>
      <c r="C319" s="76">
        <f>C12-B319</f>
        <v>8315.1072028011713</v>
      </c>
      <c r="D319" s="76">
        <f t="shared" si="4"/>
        <v>511767.13055626076</v>
      </c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4.25" customHeight="1" x14ac:dyDescent="0.15">
      <c r="A320" s="70">
        <v>302</v>
      </c>
      <c r="B320" s="80">
        <f t="shared" si="3"/>
        <v>639.70891319532598</v>
      </c>
      <c r="C320" s="76">
        <f>C12-B320</f>
        <v>8325.5010868046738</v>
      </c>
      <c r="D320" s="76">
        <f t="shared" si="4"/>
        <v>503441.62946945609</v>
      </c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4.25" customHeight="1" x14ac:dyDescent="0.15">
      <c r="A321" s="70">
        <v>303</v>
      </c>
      <c r="B321" s="80">
        <f t="shared" si="3"/>
        <v>629.30203683682021</v>
      </c>
      <c r="C321" s="76">
        <f>C12-B321</f>
        <v>8335.9079631631794</v>
      </c>
      <c r="D321" s="76">
        <f t="shared" si="4"/>
        <v>495105.72150629293</v>
      </c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4.25" customHeight="1" x14ac:dyDescent="0.15">
      <c r="A322" s="70">
        <v>304</v>
      </c>
      <c r="B322" s="80">
        <f t="shared" si="3"/>
        <v>618.8821518828662</v>
      </c>
      <c r="C322" s="76">
        <f>C12-B322</f>
        <v>8346.3278481171328</v>
      </c>
      <c r="D322" s="76">
        <f t="shared" si="4"/>
        <v>486759.39365817577</v>
      </c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4.25" customHeight="1" x14ac:dyDescent="0.15">
      <c r="A323" s="70">
        <v>305</v>
      </c>
      <c r="B323" s="80">
        <f t="shared" si="3"/>
        <v>608.4492420727197</v>
      </c>
      <c r="C323" s="76">
        <f>C12-B323</f>
        <v>8356.760757927279</v>
      </c>
      <c r="D323" s="76">
        <f t="shared" si="4"/>
        <v>478402.63290024851</v>
      </c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4.25" customHeight="1" x14ac:dyDescent="0.15">
      <c r="A324" s="70">
        <v>306</v>
      </c>
      <c r="B324" s="80">
        <f t="shared" si="3"/>
        <v>598.00329112531062</v>
      </c>
      <c r="C324" s="76">
        <f>C12-B324</f>
        <v>8367.206708874688</v>
      </c>
      <c r="D324" s="76">
        <f t="shared" si="4"/>
        <v>470035.42619137384</v>
      </c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4.25" customHeight="1" x14ac:dyDescent="0.15">
      <c r="A325" s="70">
        <v>307</v>
      </c>
      <c r="B325" s="80">
        <f t="shared" si="3"/>
        <v>587.54428273921735</v>
      </c>
      <c r="C325" s="76">
        <f>C12-B325</f>
        <v>8377.6657172607811</v>
      </c>
      <c r="D325" s="76">
        <f t="shared" si="4"/>
        <v>461657.76047411305</v>
      </c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4.25" customHeight="1" x14ac:dyDescent="0.15">
      <c r="A326" s="70">
        <v>308</v>
      </c>
      <c r="B326" s="80">
        <f t="shared" si="3"/>
        <v>577.07220059264137</v>
      </c>
      <c r="C326" s="76">
        <f>C12-B326</f>
        <v>8388.1377994073573</v>
      </c>
      <c r="D326" s="76">
        <f t="shared" si="4"/>
        <v>453269.62267470569</v>
      </c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4.25" customHeight="1" x14ac:dyDescent="0.15">
      <c r="A327" s="70">
        <v>309</v>
      </c>
      <c r="B327" s="80">
        <f t="shared" si="3"/>
        <v>566.58702834338214</v>
      </c>
      <c r="C327" s="76">
        <f>C12-B327</f>
        <v>8398.6229716566177</v>
      </c>
      <c r="D327" s="76">
        <f t="shared" si="4"/>
        <v>444870.99970304908</v>
      </c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4.25" customHeight="1" x14ac:dyDescent="0.15">
      <c r="A328" s="70">
        <v>310</v>
      </c>
      <c r="B328" s="80">
        <f t="shared" si="3"/>
        <v>556.08874962881134</v>
      </c>
      <c r="C328" s="76">
        <f>C12-B328</f>
        <v>8409.1212503711886</v>
      </c>
      <c r="D328" s="76">
        <f t="shared" si="4"/>
        <v>436461.87845267786</v>
      </c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4.25" customHeight="1" x14ac:dyDescent="0.15">
      <c r="A329" s="70">
        <v>311</v>
      </c>
      <c r="B329" s="80">
        <f t="shared" si="3"/>
        <v>545.57734806584733</v>
      </c>
      <c r="C329" s="76">
        <f>C12-B329</f>
        <v>8419.632651934151</v>
      </c>
      <c r="D329" s="76">
        <f t="shared" si="4"/>
        <v>428042.24580074369</v>
      </c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4.25" customHeight="1" x14ac:dyDescent="0.15">
      <c r="A330" s="70">
        <v>312</v>
      </c>
      <c r="B330" s="80">
        <f t="shared" si="3"/>
        <v>535.05280725092962</v>
      </c>
      <c r="C330" s="76">
        <f>C12-B330</f>
        <v>8430.1571927490695</v>
      </c>
      <c r="D330" s="76">
        <f t="shared" si="4"/>
        <v>419612.08860799461</v>
      </c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4.25" customHeight="1" x14ac:dyDescent="0.15">
      <c r="A331" s="70">
        <v>313</v>
      </c>
      <c r="B331" s="80">
        <f t="shared" si="3"/>
        <v>524.51511075999326</v>
      </c>
      <c r="C331" s="76">
        <f>C12-B331</f>
        <v>8440.6948892400051</v>
      </c>
      <c r="D331" s="76">
        <f t="shared" si="4"/>
        <v>411171.39371875458</v>
      </c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4.25" customHeight="1" x14ac:dyDescent="0.15">
      <c r="A332" s="70">
        <v>314</v>
      </c>
      <c r="B332" s="80">
        <f t="shared" si="3"/>
        <v>513.9642421484433</v>
      </c>
      <c r="C332" s="76">
        <f>C12-B332</f>
        <v>8451.245757851555</v>
      </c>
      <c r="D332" s="76">
        <f t="shared" si="4"/>
        <v>402720.14796090301</v>
      </c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4.25" customHeight="1" x14ac:dyDescent="0.15">
      <c r="A333" s="70">
        <v>315</v>
      </c>
      <c r="B333" s="80">
        <f t="shared" si="3"/>
        <v>503.40018495112878</v>
      </c>
      <c r="C333" s="76">
        <f>C12-B333</f>
        <v>8461.8098150488695</v>
      </c>
      <c r="D333" s="76">
        <f t="shared" si="4"/>
        <v>394258.33814585413</v>
      </c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4.25" customHeight="1" x14ac:dyDescent="0.15">
      <c r="A334" s="70">
        <v>316</v>
      </c>
      <c r="B334" s="80">
        <f t="shared" si="3"/>
        <v>492.82292268231771</v>
      </c>
      <c r="C334" s="76">
        <f>C12-B334</f>
        <v>8472.3870773176823</v>
      </c>
      <c r="D334" s="76">
        <f t="shared" si="4"/>
        <v>385785.95106853644</v>
      </c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4.25" customHeight="1" x14ac:dyDescent="0.15">
      <c r="A335" s="70">
        <v>317</v>
      </c>
      <c r="B335" s="80">
        <f t="shared" si="3"/>
        <v>482.23243883567051</v>
      </c>
      <c r="C335" s="76">
        <f>C12-B335</f>
        <v>8482.977561164329</v>
      </c>
      <c r="D335" s="76">
        <f t="shared" si="4"/>
        <v>377302.97350737208</v>
      </c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4.25" customHeight="1" x14ac:dyDescent="0.15">
      <c r="A336" s="70">
        <v>318</v>
      </c>
      <c r="B336" s="80">
        <f t="shared" si="3"/>
        <v>471.62871688421512</v>
      </c>
      <c r="C336" s="76">
        <f>C12-B336</f>
        <v>8493.5812831157837</v>
      </c>
      <c r="D336" s="76">
        <f t="shared" si="4"/>
        <v>368809.3922242563</v>
      </c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4.25" customHeight="1" x14ac:dyDescent="0.15">
      <c r="A337" s="70">
        <v>319</v>
      </c>
      <c r="B337" s="80">
        <f t="shared" si="3"/>
        <v>461.0117402803204</v>
      </c>
      <c r="C337" s="76">
        <f>C12-B337</f>
        <v>8504.1982597196784</v>
      </c>
      <c r="D337" s="76">
        <f t="shared" si="4"/>
        <v>360305.19396453659</v>
      </c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4.25" customHeight="1" x14ac:dyDescent="0.15">
      <c r="A338" s="70">
        <v>320</v>
      </c>
      <c r="B338" s="80">
        <f t="shared" si="3"/>
        <v>450.38149245567081</v>
      </c>
      <c r="C338" s="76">
        <f>C12-B338</f>
        <v>8514.8285075443291</v>
      </c>
      <c r="D338" s="76">
        <f t="shared" si="4"/>
        <v>351790.36545699224</v>
      </c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4.25" customHeight="1" x14ac:dyDescent="0.15">
      <c r="A339" s="70">
        <v>321</v>
      </c>
      <c r="B339" s="80">
        <f t="shared" si="3"/>
        <v>439.73795682124029</v>
      </c>
      <c r="C339" s="76">
        <f>C12-B339</f>
        <v>8525.4720431787591</v>
      </c>
      <c r="D339" s="76">
        <f t="shared" si="4"/>
        <v>343264.89341381349</v>
      </c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4.25" customHeight="1" x14ac:dyDescent="0.15">
      <c r="A340" s="70">
        <v>322</v>
      </c>
      <c r="B340" s="80">
        <f t="shared" si="3"/>
        <v>429.08111676726691</v>
      </c>
      <c r="C340" s="76">
        <f>C12-B340</f>
        <v>8536.1288832327318</v>
      </c>
      <c r="D340" s="76">
        <f t="shared" si="4"/>
        <v>334728.76453058078</v>
      </c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4.25" customHeight="1" x14ac:dyDescent="0.15">
      <c r="A341" s="70">
        <v>323</v>
      </c>
      <c r="B341" s="80">
        <f t="shared" si="3"/>
        <v>418.41095566322599</v>
      </c>
      <c r="C341" s="76">
        <f>C12-B341</f>
        <v>8546.7990443367726</v>
      </c>
      <c r="D341" s="76">
        <f t="shared" si="4"/>
        <v>326181.96548624401</v>
      </c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4.25" customHeight="1" x14ac:dyDescent="0.15">
      <c r="A342" s="70">
        <v>324</v>
      </c>
      <c r="B342" s="80">
        <f t="shared" si="3"/>
        <v>407.72745685780501</v>
      </c>
      <c r="C342" s="76">
        <f>C12-B342</f>
        <v>8557.4825431421941</v>
      </c>
      <c r="D342" s="76">
        <f t="shared" si="4"/>
        <v>317624.48294310179</v>
      </c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4.25" customHeight="1" x14ac:dyDescent="0.15">
      <c r="A343" s="70">
        <v>325</v>
      </c>
      <c r="B343" s="80">
        <f t="shared" si="3"/>
        <v>397.03060367887724</v>
      </c>
      <c r="C343" s="76">
        <f>C12-B343</f>
        <v>8568.1793963211221</v>
      </c>
      <c r="D343" s="76">
        <f t="shared" si="4"/>
        <v>309056.30354678066</v>
      </c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4.25" customHeight="1" x14ac:dyDescent="0.15">
      <c r="A344" s="70">
        <v>326</v>
      </c>
      <c r="B344" s="80">
        <f t="shared" si="3"/>
        <v>386.32037943347586</v>
      </c>
      <c r="C344" s="76">
        <f>C12-B344</f>
        <v>8578.8896205665224</v>
      </c>
      <c r="D344" s="76">
        <f t="shared" si="4"/>
        <v>300477.41392621415</v>
      </c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4.25" customHeight="1" x14ac:dyDescent="0.15">
      <c r="A345" s="70">
        <v>327</v>
      </c>
      <c r="B345" s="80">
        <f t="shared" si="3"/>
        <v>375.59676740776769</v>
      </c>
      <c r="C345" s="76">
        <f>C12-B345</f>
        <v>8589.6132325922317</v>
      </c>
      <c r="D345" s="76">
        <f t="shared" si="4"/>
        <v>291887.80069362192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4.25" customHeight="1" x14ac:dyDescent="0.15">
      <c r="A346" s="70">
        <v>328</v>
      </c>
      <c r="B346" s="80">
        <f t="shared" si="3"/>
        <v>364.8597508670274</v>
      </c>
      <c r="C346" s="76">
        <f>C12-B346</f>
        <v>8600.3502491329709</v>
      </c>
      <c r="D346" s="76">
        <f t="shared" si="4"/>
        <v>283287.45044448896</v>
      </c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4.25" customHeight="1" x14ac:dyDescent="0.15">
      <c r="A347" s="70">
        <v>329</v>
      </c>
      <c r="B347" s="80">
        <f t="shared" si="3"/>
        <v>354.10931305561121</v>
      </c>
      <c r="C347" s="76">
        <f>C12-B347</f>
        <v>8611.1006869443881</v>
      </c>
      <c r="D347" s="76">
        <f t="shared" si="4"/>
        <v>274676.34975754458</v>
      </c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4.25" customHeight="1" x14ac:dyDescent="0.15">
      <c r="A348" s="70">
        <v>330</v>
      </c>
      <c r="B348" s="80">
        <f t="shared" si="3"/>
        <v>343.34543719693073</v>
      </c>
      <c r="C348" s="76">
        <f>C12-B348</f>
        <v>8621.8645628030681</v>
      </c>
      <c r="D348" s="76">
        <f t="shared" si="4"/>
        <v>266054.48519474152</v>
      </c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4.25" customHeight="1" x14ac:dyDescent="0.15">
      <c r="A349" s="70">
        <v>331</v>
      </c>
      <c r="B349" s="80">
        <f t="shared" si="3"/>
        <v>332.56810649342691</v>
      </c>
      <c r="C349" s="76">
        <f>C12-B349</f>
        <v>8632.6418935065722</v>
      </c>
      <c r="D349" s="76">
        <f t="shared" si="4"/>
        <v>257421.84330123494</v>
      </c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4.25" customHeight="1" x14ac:dyDescent="0.15">
      <c r="A350" s="70">
        <v>332</v>
      </c>
      <c r="B350" s="80">
        <f t="shared" si="3"/>
        <v>321.7773041265437</v>
      </c>
      <c r="C350" s="76">
        <f>C12-B350</f>
        <v>8643.4326958734546</v>
      </c>
      <c r="D350" s="76">
        <f t="shared" si="4"/>
        <v>248778.41060536148</v>
      </c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4.25" customHeight="1" x14ac:dyDescent="0.15">
      <c r="A351" s="70">
        <v>333</v>
      </c>
      <c r="B351" s="80">
        <f t="shared" si="3"/>
        <v>310.97301325670185</v>
      </c>
      <c r="C351" s="76">
        <f>C12-B351</f>
        <v>8654.2369867432972</v>
      </c>
      <c r="D351" s="76">
        <f t="shared" si="4"/>
        <v>240124.1736186182</v>
      </c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4.25" customHeight="1" x14ac:dyDescent="0.15">
      <c r="A352" s="70">
        <v>334</v>
      </c>
      <c r="B352" s="80">
        <f t="shared" si="3"/>
        <v>300.15521702327271</v>
      </c>
      <c r="C352" s="76">
        <f>C12-B352</f>
        <v>8665.0547829767256</v>
      </c>
      <c r="D352" s="76">
        <f t="shared" si="4"/>
        <v>231459.11883564148</v>
      </c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4.25" customHeight="1" x14ac:dyDescent="0.15">
      <c r="A353" s="70">
        <v>335</v>
      </c>
      <c r="B353" s="80">
        <f t="shared" si="3"/>
        <v>289.32389854455187</v>
      </c>
      <c r="C353" s="76">
        <f>C12-B353</f>
        <v>8675.8861014554477</v>
      </c>
      <c r="D353" s="76">
        <f t="shared" si="4"/>
        <v>222783.23273418602</v>
      </c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4.25" customHeight="1" x14ac:dyDescent="0.15">
      <c r="A354" s="70">
        <v>336</v>
      </c>
      <c r="B354" s="80">
        <f t="shared" si="3"/>
        <v>278.47904091773256</v>
      </c>
      <c r="C354" s="76">
        <f>C12-B354</f>
        <v>8686.7309590822661</v>
      </c>
      <c r="D354" s="76">
        <f t="shared" si="4"/>
        <v>214096.50177510377</v>
      </c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4.25" customHeight="1" x14ac:dyDescent="0.15">
      <c r="A355" s="70">
        <v>337</v>
      </c>
      <c r="B355" s="80">
        <f t="shared" si="3"/>
        <v>267.62062721887975</v>
      </c>
      <c r="C355" s="76">
        <f>C12-B355</f>
        <v>8697.5893727811199</v>
      </c>
      <c r="D355" s="76">
        <f t="shared" si="4"/>
        <v>205398.91240232263</v>
      </c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4.25" customHeight="1" x14ac:dyDescent="0.15">
      <c r="A356" s="70">
        <v>338</v>
      </c>
      <c r="B356" s="80">
        <f t="shared" si="3"/>
        <v>256.7486405029033</v>
      </c>
      <c r="C356" s="76">
        <f>C12-B356</f>
        <v>8708.4613594970961</v>
      </c>
      <c r="D356" s="76">
        <f t="shared" si="4"/>
        <v>196690.45104282553</v>
      </c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4.25" customHeight="1" x14ac:dyDescent="0.15">
      <c r="A357" s="70">
        <v>339</v>
      </c>
      <c r="B357" s="80">
        <f t="shared" si="3"/>
        <v>245.86306380353193</v>
      </c>
      <c r="C357" s="76">
        <f>C12-B357</f>
        <v>8719.3469361964671</v>
      </c>
      <c r="D357" s="76">
        <f t="shared" si="4"/>
        <v>187971.10410662906</v>
      </c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4.25" customHeight="1" x14ac:dyDescent="0.15">
      <c r="A358" s="70">
        <v>340</v>
      </c>
      <c r="B358" s="80">
        <f t="shared" si="3"/>
        <v>234.96388013328635</v>
      </c>
      <c r="C358" s="76">
        <f>C12-B358</f>
        <v>8730.2461198667133</v>
      </c>
      <c r="D358" s="76">
        <f t="shared" si="4"/>
        <v>179240.85798676236</v>
      </c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4.25" customHeight="1" x14ac:dyDescent="0.15">
      <c r="A359" s="70">
        <v>341</v>
      </c>
      <c r="B359" s="80">
        <f t="shared" si="3"/>
        <v>224.05107248345297</v>
      </c>
      <c r="C359" s="76">
        <f>C12-B359</f>
        <v>8741.1589275165461</v>
      </c>
      <c r="D359" s="76">
        <f t="shared" si="4"/>
        <v>170499.69905924582</v>
      </c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4.25" customHeight="1" x14ac:dyDescent="0.15">
      <c r="A360" s="70">
        <v>342</v>
      </c>
      <c r="B360" s="80">
        <f t="shared" si="3"/>
        <v>213.12462382405727</v>
      </c>
      <c r="C360" s="76">
        <f>C12-B360</f>
        <v>8752.0853761759427</v>
      </c>
      <c r="D360" s="76">
        <f t="shared" si="4"/>
        <v>161747.61368306988</v>
      </c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4.25" customHeight="1" x14ac:dyDescent="0.15">
      <c r="A361" s="70">
        <v>343</v>
      </c>
      <c r="B361" s="80">
        <f t="shared" si="3"/>
        <v>202.18451710383735</v>
      </c>
      <c r="C361" s="76">
        <f>C12-B361</f>
        <v>8763.0254828961624</v>
      </c>
      <c r="D361" s="76">
        <f t="shared" si="4"/>
        <v>152984.58820017372</v>
      </c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4.25" customHeight="1" x14ac:dyDescent="0.15">
      <c r="A362" s="70">
        <v>344</v>
      </c>
      <c r="B362" s="80">
        <f t="shared" si="3"/>
        <v>191.23073525021715</v>
      </c>
      <c r="C362" s="76">
        <f>C12-B362</f>
        <v>8773.9792647497816</v>
      </c>
      <c r="D362" s="76">
        <f t="shared" si="4"/>
        <v>144210.60893542395</v>
      </c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4.25" customHeight="1" x14ac:dyDescent="0.15">
      <c r="A363" s="70">
        <v>345</v>
      </c>
      <c r="B363" s="80">
        <f t="shared" si="3"/>
        <v>180.26326116927993</v>
      </c>
      <c r="C363" s="76">
        <f>C12-B363</f>
        <v>8784.9467388307185</v>
      </c>
      <c r="D363" s="76">
        <f t="shared" si="4"/>
        <v>135425.66219659324</v>
      </c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4.25" customHeight="1" x14ac:dyDescent="0.15">
      <c r="A364" s="70">
        <v>346</v>
      </c>
      <c r="B364" s="80">
        <f t="shared" si="3"/>
        <v>169.28207774574156</v>
      </c>
      <c r="C364" s="76">
        <f>C12-B364</f>
        <v>8795.9279222542573</v>
      </c>
      <c r="D364" s="76">
        <f t="shared" si="4"/>
        <v>126629.73427433899</v>
      </c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4.25" customHeight="1" x14ac:dyDescent="0.15">
      <c r="A365" s="70">
        <v>347</v>
      </c>
      <c r="B365" s="80">
        <f t="shared" si="3"/>
        <v>158.28716784292374</v>
      </c>
      <c r="C365" s="76">
        <f>C12-B365</f>
        <v>8806.9228321570754</v>
      </c>
      <c r="D365" s="76">
        <f t="shared" si="4"/>
        <v>117822.81144218192</v>
      </c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4.25" customHeight="1" x14ac:dyDescent="0.15">
      <c r="A366" s="70">
        <v>348</v>
      </c>
      <c r="B366" s="80">
        <f t="shared" si="3"/>
        <v>147.27851430272742</v>
      </c>
      <c r="C366" s="76">
        <f>C12-B366</f>
        <v>8817.9314856972724</v>
      </c>
      <c r="D366" s="76">
        <f t="shared" si="4"/>
        <v>109004.87995648464</v>
      </c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4.25" customHeight="1" x14ac:dyDescent="0.15">
      <c r="A367" s="70">
        <v>349</v>
      </c>
      <c r="B367" s="80">
        <f t="shared" si="3"/>
        <v>136.2560999456058</v>
      </c>
      <c r="C367" s="76">
        <f>C12-B367</f>
        <v>8828.9539000543937</v>
      </c>
      <c r="D367" s="76">
        <f t="shared" si="4"/>
        <v>100175.92605643025</v>
      </c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4.25" customHeight="1" x14ac:dyDescent="0.15">
      <c r="A368" s="70">
        <v>350</v>
      </c>
      <c r="B368" s="80">
        <f t="shared" si="3"/>
        <v>125.21990757053783</v>
      </c>
      <c r="C368" s="76">
        <f>C12-B368</f>
        <v>8839.9900924294616</v>
      </c>
      <c r="D368" s="76">
        <f t="shared" si="4"/>
        <v>91335.93596400079</v>
      </c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4.25" customHeight="1" x14ac:dyDescent="0.15">
      <c r="A369" s="70">
        <v>351</v>
      </c>
      <c r="B369" s="80">
        <f t="shared" si="3"/>
        <v>114.16991995500099</v>
      </c>
      <c r="C369" s="76">
        <f>C12-B369</f>
        <v>8851.0400800449988</v>
      </c>
      <c r="D369" s="76">
        <f t="shared" si="4"/>
        <v>82484.895883955789</v>
      </c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4.25" customHeight="1" x14ac:dyDescent="0.15">
      <c r="A370" s="70">
        <v>352</v>
      </c>
      <c r="B370" s="80">
        <f t="shared" si="3"/>
        <v>103.10611985494474</v>
      </c>
      <c r="C370" s="76">
        <f>C12-B370</f>
        <v>8862.1038801450541</v>
      </c>
      <c r="D370" s="76">
        <f t="shared" si="4"/>
        <v>73622.79200381074</v>
      </c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4.25" customHeight="1" x14ac:dyDescent="0.15">
      <c r="A371" s="70">
        <v>353</v>
      </c>
      <c r="B371" s="80">
        <f t="shared" si="3"/>
        <v>92.028490004763427</v>
      </c>
      <c r="C371" s="76">
        <f>C12-B371</f>
        <v>8873.1815099952364</v>
      </c>
      <c r="D371" s="76">
        <f t="shared" si="4"/>
        <v>64749.610493815504</v>
      </c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4.25" customHeight="1" x14ac:dyDescent="0.15">
      <c r="A372" s="70">
        <v>354</v>
      </c>
      <c r="B372" s="80">
        <f t="shared" si="3"/>
        <v>80.937013117269387</v>
      </c>
      <c r="C372" s="76">
        <f>C12-B372</f>
        <v>8884.27298688273</v>
      </c>
      <c r="D372" s="76">
        <f t="shared" si="4"/>
        <v>55865.337506932774</v>
      </c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4.25" customHeight="1" x14ac:dyDescent="0.15">
      <c r="A373" s="70">
        <v>355</v>
      </c>
      <c r="B373" s="80">
        <f t="shared" si="3"/>
        <v>69.831671883665976</v>
      </c>
      <c r="C373" s="76">
        <f>C12-B373</f>
        <v>8895.3783281163323</v>
      </c>
      <c r="D373" s="76">
        <f t="shared" si="4"/>
        <v>46969.95917881644</v>
      </c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4.25" customHeight="1" x14ac:dyDescent="0.15">
      <c r="A374" s="70">
        <v>356</v>
      </c>
      <c r="B374" s="80">
        <f t="shared" si="3"/>
        <v>58.712448973520551</v>
      </c>
      <c r="C374" s="76">
        <f>C12-B374</f>
        <v>8906.4975510264794</v>
      </c>
      <c r="D374" s="76">
        <f t="shared" si="4"/>
        <v>38063.461627789962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4.25" customHeight="1" x14ac:dyDescent="0.15">
      <c r="A375" s="70">
        <v>357</v>
      </c>
      <c r="B375" s="80">
        <f t="shared" si="3"/>
        <v>47.579327034737453</v>
      </c>
      <c r="C375" s="76">
        <f>C12-B375</f>
        <v>8917.6306729652624</v>
      </c>
      <c r="D375" s="76">
        <f t="shared" si="4"/>
        <v>29145.830954824698</v>
      </c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4.25" customHeight="1" x14ac:dyDescent="0.15">
      <c r="A376" s="70">
        <v>358</v>
      </c>
      <c r="B376" s="80">
        <f t="shared" si="3"/>
        <v>36.432288693530879</v>
      </c>
      <c r="C376" s="76">
        <f>C12-B376</f>
        <v>8928.7777113064676</v>
      </c>
      <c r="D376" s="76">
        <f t="shared" si="4"/>
        <v>20217.053243518232</v>
      </c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4.25" customHeight="1" x14ac:dyDescent="0.15">
      <c r="A377" s="70">
        <v>359</v>
      </c>
      <c r="B377" s="80">
        <f t="shared" si="3"/>
        <v>25.271316554397792</v>
      </c>
      <c r="C377" s="76">
        <f>C12-B377</f>
        <v>8939.9386834456018</v>
      </c>
      <c r="D377" s="76">
        <f t="shared" si="4"/>
        <v>11277.11456007263</v>
      </c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4.25" customHeight="1" x14ac:dyDescent="0.15">
      <c r="A378" s="70">
        <v>360</v>
      </c>
      <c r="B378" s="80">
        <f t="shared" si="3"/>
        <v>14.096393200090789</v>
      </c>
      <c r="C378" s="76">
        <f t="shared" ref="C378:C798" si="5">$C$12-B378</f>
        <v>8951.1136067999087</v>
      </c>
      <c r="D378" s="76">
        <f t="shared" si="4"/>
        <v>2326.0009532727217</v>
      </c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4.25" customHeight="1" x14ac:dyDescent="0.15">
      <c r="A379" s="70">
        <v>361</v>
      </c>
      <c r="B379" s="80">
        <f t="shared" si="3"/>
        <v>2.9075011915909026</v>
      </c>
      <c r="C379" s="76">
        <f t="shared" si="5"/>
        <v>8962.3024988084089</v>
      </c>
      <c r="D379" s="76">
        <f t="shared" si="4"/>
        <v>-6636.3015455356872</v>
      </c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4.25" customHeight="1" x14ac:dyDescent="0.15">
      <c r="A380" s="70">
        <v>362</v>
      </c>
      <c r="B380" s="80">
        <f t="shared" si="3"/>
        <v>-8.2953769319196091</v>
      </c>
      <c r="C380" s="76">
        <f t="shared" si="5"/>
        <v>8973.5053769319184</v>
      </c>
      <c r="D380" s="76">
        <f t="shared" si="4"/>
        <v>-15609.806922467606</v>
      </c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4.25" customHeight="1" x14ac:dyDescent="0.15">
      <c r="A381" s="70">
        <v>363</v>
      </c>
      <c r="B381" s="80">
        <f t="shared" si="3"/>
        <v>-19.512258653084508</v>
      </c>
      <c r="C381" s="76">
        <f t="shared" si="5"/>
        <v>8984.7222586530843</v>
      </c>
      <c r="D381" s="76">
        <f t="shared" si="4"/>
        <v>-24594.529181120692</v>
      </c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4.25" customHeight="1" x14ac:dyDescent="0.15">
      <c r="A382" s="70">
        <v>364</v>
      </c>
      <c r="B382" s="80">
        <f t="shared" si="3"/>
        <v>-30.743161476400868</v>
      </c>
      <c r="C382" s="76">
        <f t="shared" si="5"/>
        <v>8995.9531614764001</v>
      </c>
      <c r="D382" s="76">
        <f t="shared" si="4"/>
        <v>-33590.48234259709</v>
      </c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4.25" customHeight="1" x14ac:dyDescent="0.15">
      <c r="A383" s="70">
        <v>365</v>
      </c>
      <c r="B383" s="80">
        <f t="shared" si="3"/>
        <v>-41.988102928246363</v>
      </c>
      <c r="C383" s="76">
        <f t="shared" si="5"/>
        <v>9007.1981029282451</v>
      </c>
      <c r="D383" s="76">
        <f t="shared" si="4"/>
        <v>-42597.680445525337</v>
      </c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4.25" customHeight="1" x14ac:dyDescent="0.15">
      <c r="A384" s="70">
        <v>366</v>
      </c>
      <c r="B384" s="80">
        <f t="shared" si="3"/>
        <v>-53.247100556906666</v>
      </c>
      <c r="C384" s="76">
        <f t="shared" si="5"/>
        <v>9018.4571005569051</v>
      </c>
      <c r="D384" s="76">
        <f t="shared" si="4"/>
        <v>-51616.137546082246</v>
      </c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4.25" customHeight="1" x14ac:dyDescent="0.15">
      <c r="A385" s="70">
        <v>367</v>
      </c>
      <c r="B385" s="80">
        <f t="shared" si="3"/>
        <v>-64.520171932602807</v>
      </c>
      <c r="C385" s="76">
        <f t="shared" si="5"/>
        <v>9029.7301719326024</v>
      </c>
      <c r="D385" s="76">
        <f t="shared" si="4"/>
        <v>-60645.867718014852</v>
      </c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4.25" customHeight="1" x14ac:dyDescent="0.15">
      <c r="A386" s="70">
        <v>368</v>
      </c>
      <c r="B386" s="80">
        <f t="shared" si="3"/>
        <v>-75.807334647518573</v>
      </c>
      <c r="C386" s="76">
        <f t="shared" si="5"/>
        <v>9041.0173346475185</v>
      </c>
      <c r="D386" s="76">
        <f t="shared" si="4"/>
        <v>-69686.885052662372</v>
      </c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4.25" customHeight="1" x14ac:dyDescent="0.15">
      <c r="A387" s="70">
        <v>369</v>
      </c>
      <c r="B387" s="80">
        <f t="shared" si="3"/>
        <v>-87.10860631582797</v>
      </c>
      <c r="C387" s="76">
        <f t="shared" si="5"/>
        <v>9052.3186063158264</v>
      </c>
      <c r="D387" s="76">
        <f t="shared" si="4"/>
        <v>-78739.203658978193</v>
      </c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4.25" customHeight="1" x14ac:dyDescent="0.15">
      <c r="A388" s="70">
        <v>370</v>
      </c>
      <c r="B388" s="80">
        <f t="shared" si="3"/>
        <v>-98.42400457372274</v>
      </c>
      <c r="C388" s="76">
        <f t="shared" si="5"/>
        <v>9063.6340045737215</v>
      </c>
      <c r="D388" s="76">
        <f t="shared" si="4"/>
        <v>-87802.837663551909</v>
      </c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4.25" customHeight="1" x14ac:dyDescent="0.15">
      <c r="A389" s="70">
        <v>371</v>
      </c>
      <c r="B389" s="80">
        <f t="shared" si="3"/>
        <v>-109.7535470794399</v>
      </c>
      <c r="C389" s="76">
        <f t="shared" si="5"/>
        <v>9074.9635470794383</v>
      </c>
      <c r="D389" s="76">
        <f t="shared" si="4"/>
        <v>-96877.801210631354</v>
      </c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4.25" customHeight="1" x14ac:dyDescent="0.15">
      <c r="A390" s="70">
        <v>372</v>
      </c>
      <c r="B390" s="80">
        <f t="shared" si="3"/>
        <v>-121.09725151328919</v>
      </c>
      <c r="C390" s="76">
        <f t="shared" si="5"/>
        <v>9086.3072515132881</v>
      </c>
      <c r="D390" s="76">
        <f t="shared" si="4"/>
        <v>-105964.10846214465</v>
      </c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4.25" customHeight="1" x14ac:dyDescent="0.15">
      <c r="A391" s="70">
        <v>373</v>
      </c>
      <c r="B391" s="80">
        <f t="shared" si="3"/>
        <v>-132.45513557768081</v>
      </c>
      <c r="C391" s="76">
        <f t="shared" si="5"/>
        <v>9097.6651355776794</v>
      </c>
      <c r="D391" s="76">
        <f t="shared" si="4"/>
        <v>-115061.77359772233</v>
      </c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4.25" customHeight="1" x14ac:dyDescent="0.15">
      <c r="A392" s="70">
        <v>374</v>
      </c>
      <c r="B392" s="80">
        <f t="shared" si="3"/>
        <v>-143.8272169971529</v>
      </c>
      <c r="C392" s="76">
        <f t="shared" si="5"/>
        <v>9109.0372169971524</v>
      </c>
      <c r="D392" s="76">
        <f t="shared" si="4"/>
        <v>-124170.81081471949</v>
      </c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4.25" customHeight="1" x14ac:dyDescent="0.15">
      <c r="A393" s="70">
        <v>375</v>
      </c>
      <c r="B393" s="80">
        <f t="shared" si="3"/>
        <v>-155.21351351839937</v>
      </c>
      <c r="C393" s="76">
        <f t="shared" si="5"/>
        <v>9120.423513518399</v>
      </c>
      <c r="D393" s="76">
        <f t="shared" si="4"/>
        <v>-133291.23432823789</v>
      </c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4.25" customHeight="1" x14ac:dyDescent="0.15">
      <c r="A394" s="70">
        <v>376</v>
      </c>
      <c r="B394" s="80">
        <f t="shared" si="3"/>
        <v>-166.61404291029737</v>
      </c>
      <c r="C394" s="76">
        <f t="shared" si="5"/>
        <v>9131.8240429102971</v>
      </c>
      <c r="D394" s="76">
        <f t="shared" si="4"/>
        <v>-142423.05837114819</v>
      </c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4.25" customHeight="1" x14ac:dyDescent="0.15">
      <c r="A395" s="70">
        <v>377</v>
      </c>
      <c r="B395" s="80">
        <f t="shared" si="3"/>
        <v>-178.02882296393526</v>
      </c>
      <c r="C395" s="76">
        <f t="shared" si="5"/>
        <v>9143.2388229639346</v>
      </c>
      <c r="D395" s="76">
        <f t="shared" si="4"/>
        <v>-151566.29719411212</v>
      </c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4.25" customHeight="1" x14ac:dyDescent="0.15">
      <c r="A396" s="70">
        <v>378</v>
      </c>
      <c r="B396" s="80">
        <f t="shared" si="3"/>
        <v>-189.45787149264015</v>
      </c>
      <c r="C396" s="76">
        <f t="shared" si="5"/>
        <v>9154.6678714926384</v>
      </c>
      <c r="D396" s="76">
        <f t="shared" si="4"/>
        <v>-160720.96506560477</v>
      </c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4.25" customHeight="1" x14ac:dyDescent="0.15">
      <c r="A397" s="70">
        <v>379</v>
      </c>
      <c r="B397" s="80">
        <f t="shared" si="3"/>
        <v>-200.90120633200598</v>
      </c>
      <c r="C397" s="76">
        <f t="shared" si="5"/>
        <v>9166.1112063320052</v>
      </c>
      <c r="D397" s="76">
        <f t="shared" si="4"/>
        <v>-169887.07627193679</v>
      </c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4.25" customHeight="1" x14ac:dyDescent="0.15">
      <c r="A398" s="70">
        <v>380</v>
      </c>
      <c r="B398" s="80">
        <f t="shared" si="3"/>
        <v>-212.358845339921</v>
      </c>
      <c r="C398" s="76">
        <f t="shared" si="5"/>
        <v>9177.5688453399198</v>
      </c>
      <c r="D398" s="76">
        <f t="shared" si="4"/>
        <v>-179064.6451172767</v>
      </c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4.25" customHeight="1" x14ac:dyDescent="0.15">
      <c r="A399" s="70">
        <v>381</v>
      </c>
      <c r="B399" s="80">
        <f t="shared" si="3"/>
        <v>-223.83080639659588</v>
      </c>
      <c r="C399" s="76">
        <f t="shared" si="5"/>
        <v>9189.0408063965951</v>
      </c>
      <c r="D399" s="76">
        <f t="shared" si="4"/>
        <v>-188253.6859236733</v>
      </c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4.25" customHeight="1" x14ac:dyDescent="0.15">
      <c r="A400" s="70">
        <v>382</v>
      </c>
      <c r="B400" s="80">
        <f t="shared" si="3"/>
        <v>-235.31710740459164</v>
      </c>
      <c r="C400" s="76">
        <f t="shared" si="5"/>
        <v>9200.5271074045904</v>
      </c>
      <c r="D400" s="76">
        <f t="shared" si="4"/>
        <v>-197454.2130310779</v>
      </c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4.25" customHeight="1" x14ac:dyDescent="0.15">
      <c r="A401" s="70">
        <v>383</v>
      </c>
      <c r="B401" s="80">
        <f t="shared" si="3"/>
        <v>-246.81776628884739</v>
      </c>
      <c r="C401" s="76">
        <f t="shared" si="5"/>
        <v>9212.0277662888457</v>
      </c>
      <c r="D401" s="76">
        <f t="shared" si="4"/>
        <v>-206666.24079736674</v>
      </c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4.25" customHeight="1" x14ac:dyDescent="0.15">
      <c r="A402" s="70">
        <v>384</v>
      </c>
      <c r="B402" s="80">
        <f t="shared" si="3"/>
        <v>-258.33280099670844</v>
      </c>
      <c r="C402" s="76">
        <f t="shared" si="5"/>
        <v>9223.5428009967072</v>
      </c>
      <c r="D402" s="76">
        <f t="shared" si="4"/>
        <v>-215889.78359836346</v>
      </c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4.25" customHeight="1" x14ac:dyDescent="0.15">
      <c r="A403" s="70">
        <v>385</v>
      </c>
      <c r="B403" s="80">
        <f t="shared" si="3"/>
        <v>-269.86222949795433</v>
      </c>
      <c r="C403" s="76">
        <f t="shared" si="5"/>
        <v>9235.0722294979532</v>
      </c>
      <c r="D403" s="76">
        <f t="shared" si="4"/>
        <v>-225124.85582786141</v>
      </c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4.25" customHeight="1" x14ac:dyDescent="0.15">
      <c r="A404" s="70">
        <v>386</v>
      </c>
      <c r="B404" s="80">
        <f t="shared" si="3"/>
        <v>-281.4060697848268</v>
      </c>
      <c r="C404" s="76">
        <f t="shared" si="5"/>
        <v>9246.6160697848263</v>
      </c>
      <c r="D404" s="76">
        <f t="shared" si="4"/>
        <v>-234371.47189764623</v>
      </c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4.25" customHeight="1" x14ac:dyDescent="0.15">
      <c r="A405" s="70">
        <v>387</v>
      </c>
      <c r="B405" s="80">
        <f t="shared" si="3"/>
        <v>-292.96433987205779</v>
      </c>
      <c r="C405" s="76">
        <f t="shared" si="5"/>
        <v>9258.1743398720573</v>
      </c>
      <c r="D405" s="76">
        <f t="shared" si="4"/>
        <v>-243629.64623751829</v>
      </c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4.25" customHeight="1" x14ac:dyDescent="0.15">
      <c r="A406" s="70">
        <v>388</v>
      </c>
      <c r="B406" s="80">
        <f t="shared" si="3"/>
        <v>-304.53705779689784</v>
      </c>
      <c r="C406" s="76">
        <f t="shared" si="5"/>
        <v>9269.7470577968961</v>
      </c>
      <c r="D406" s="76">
        <f t="shared" si="4"/>
        <v>-252899.39329531518</v>
      </c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4.25" customHeight="1" x14ac:dyDescent="0.15">
      <c r="A407" s="70">
        <v>389</v>
      </c>
      <c r="B407" s="80">
        <f t="shared" si="3"/>
        <v>-316.12424161914402</v>
      </c>
      <c r="C407" s="76">
        <f t="shared" si="5"/>
        <v>9281.3342416191426</v>
      </c>
      <c r="D407" s="76">
        <f t="shared" si="4"/>
        <v>-262180.72753693431</v>
      </c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4.25" customHeight="1" x14ac:dyDescent="0.15">
      <c r="A408" s="70">
        <v>390</v>
      </c>
      <c r="B408" s="80">
        <f t="shared" si="3"/>
        <v>-327.7259094211679</v>
      </c>
      <c r="C408" s="76">
        <f t="shared" si="5"/>
        <v>9292.9359094211668</v>
      </c>
      <c r="D408" s="76">
        <f t="shared" si="4"/>
        <v>-271473.66344635549</v>
      </c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4.25" customHeight="1" x14ac:dyDescent="0.15">
      <c r="A409" s="70">
        <v>391</v>
      </c>
      <c r="B409" s="80">
        <f t="shared" si="3"/>
        <v>-339.34207930794435</v>
      </c>
      <c r="C409" s="76">
        <f t="shared" si="5"/>
        <v>9304.5520793079431</v>
      </c>
      <c r="D409" s="76">
        <f t="shared" si="4"/>
        <v>-280778.21552566346</v>
      </c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4.25" customHeight="1" x14ac:dyDescent="0.15">
      <c r="A410" s="70">
        <v>392</v>
      </c>
      <c r="B410" s="80">
        <f t="shared" si="3"/>
        <v>-350.97276940707928</v>
      </c>
      <c r="C410" s="76">
        <f t="shared" si="5"/>
        <v>9316.182769407078</v>
      </c>
      <c r="D410" s="76">
        <f t="shared" si="4"/>
        <v>-290094.39829507051</v>
      </c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4.25" customHeight="1" x14ac:dyDescent="0.15">
      <c r="A411" s="70">
        <v>393</v>
      </c>
      <c r="B411" s="80">
        <f t="shared" si="3"/>
        <v>-362.61799786883813</v>
      </c>
      <c r="C411" s="76">
        <f t="shared" si="5"/>
        <v>9327.827997868837</v>
      </c>
      <c r="D411" s="76">
        <f t="shared" si="4"/>
        <v>-299422.22629293933</v>
      </c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4.25" customHeight="1" x14ac:dyDescent="0.15">
      <c r="A412" s="70">
        <v>394</v>
      </c>
      <c r="B412" s="80">
        <f t="shared" si="3"/>
        <v>-374.27778286617416</v>
      </c>
      <c r="C412" s="76">
        <f t="shared" si="5"/>
        <v>9339.4877828661738</v>
      </c>
      <c r="D412" s="76">
        <f t="shared" si="4"/>
        <v>-308761.7140758055</v>
      </c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4.25" customHeight="1" x14ac:dyDescent="0.15">
      <c r="A413" s="70">
        <v>395</v>
      </c>
      <c r="B413" s="80">
        <f t="shared" si="3"/>
        <v>-385.95214259475688</v>
      </c>
      <c r="C413" s="76">
        <f t="shared" si="5"/>
        <v>9351.162142594756</v>
      </c>
      <c r="D413" s="76">
        <f t="shared" si="4"/>
        <v>-318112.87621840026</v>
      </c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4.25" customHeight="1" x14ac:dyDescent="0.15">
      <c r="A414" s="70">
        <v>396</v>
      </c>
      <c r="B414" s="80">
        <f t="shared" si="3"/>
        <v>-397.6410952730003</v>
      </c>
      <c r="C414" s="76">
        <f t="shared" si="5"/>
        <v>9362.8510952729994</v>
      </c>
      <c r="D414" s="76">
        <f t="shared" si="4"/>
        <v>-327475.72731367324</v>
      </c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4.25" customHeight="1" x14ac:dyDescent="0.15">
      <c r="A415" s="70">
        <v>397</v>
      </c>
      <c r="B415" s="80">
        <f t="shared" si="3"/>
        <v>-409.34465914209159</v>
      </c>
      <c r="C415" s="76">
        <f t="shared" si="5"/>
        <v>9374.5546591420898</v>
      </c>
      <c r="D415" s="76">
        <f t="shared" si="4"/>
        <v>-336850.28197281534</v>
      </c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4.25" customHeight="1" x14ac:dyDescent="0.15">
      <c r="A416" s="70">
        <v>398</v>
      </c>
      <c r="B416" s="80">
        <f t="shared" si="3"/>
        <v>-421.06285246601914</v>
      </c>
      <c r="C416" s="76">
        <f t="shared" si="5"/>
        <v>9386.2728524660179</v>
      </c>
      <c r="D416" s="76">
        <f t="shared" si="4"/>
        <v>-346236.55482528138</v>
      </c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4.25" customHeight="1" x14ac:dyDescent="0.15">
      <c r="A417" s="70">
        <v>399</v>
      </c>
      <c r="B417" s="80">
        <f t="shared" si="3"/>
        <v>-432.79569353160173</v>
      </c>
      <c r="C417" s="76">
        <f t="shared" si="5"/>
        <v>9398.0056935316006</v>
      </c>
      <c r="D417" s="76">
        <f t="shared" si="4"/>
        <v>-355634.56051881297</v>
      </c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4.25" customHeight="1" x14ac:dyDescent="0.15">
      <c r="A418" s="70">
        <v>400</v>
      </c>
      <c r="B418" s="80">
        <f t="shared" si="3"/>
        <v>-444.54320064851623</v>
      </c>
      <c r="C418" s="76">
        <f t="shared" si="5"/>
        <v>9409.7532006485162</v>
      </c>
      <c r="D418" s="76">
        <f t="shared" si="4"/>
        <v>-365044.3137194615</v>
      </c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4.25" customHeight="1" x14ac:dyDescent="0.15">
      <c r="A419" s="70">
        <v>401</v>
      </c>
      <c r="B419" s="80">
        <f t="shared" si="3"/>
        <v>-456.30539214932685</v>
      </c>
      <c r="C419" s="76">
        <f t="shared" si="5"/>
        <v>9421.5153921493256</v>
      </c>
      <c r="D419" s="76">
        <f t="shared" si="4"/>
        <v>-374465.82911161083</v>
      </c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4.25" customHeight="1" x14ac:dyDescent="0.15">
      <c r="A420" s="70">
        <v>402</v>
      </c>
      <c r="B420" s="80">
        <f t="shared" si="3"/>
        <v>-468.08228638951357</v>
      </c>
      <c r="C420" s="76">
        <f t="shared" si="5"/>
        <v>9433.2922863895128</v>
      </c>
      <c r="D420" s="76">
        <f t="shared" si="4"/>
        <v>-383899.12139800034</v>
      </c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4.25" customHeight="1" x14ac:dyDescent="0.15">
      <c r="A421" s="70">
        <v>403</v>
      </c>
      <c r="B421" s="80">
        <f t="shared" si="3"/>
        <v>-479.87390174750038</v>
      </c>
      <c r="C421" s="76">
        <f t="shared" si="5"/>
        <v>9445.0839017474991</v>
      </c>
      <c r="D421" s="76">
        <f t="shared" si="4"/>
        <v>-393344.20529974782</v>
      </c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4.25" customHeight="1" x14ac:dyDescent="0.15">
      <c r="A422" s="70">
        <v>404</v>
      </c>
      <c r="B422" s="80">
        <f t="shared" si="3"/>
        <v>-491.68025662468483</v>
      </c>
      <c r="C422" s="76">
        <f t="shared" si="5"/>
        <v>9456.8902566246834</v>
      </c>
      <c r="D422" s="76">
        <f t="shared" si="4"/>
        <v>-402801.09555637249</v>
      </c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4.25" customHeight="1" x14ac:dyDescent="0.15">
      <c r="A423" s="70">
        <v>405</v>
      </c>
      <c r="B423" s="80">
        <f t="shared" si="3"/>
        <v>-503.50136944546563</v>
      </c>
      <c r="C423" s="76">
        <f t="shared" si="5"/>
        <v>9468.7113694454656</v>
      </c>
      <c r="D423" s="76">
        <f t="shared" si="4"/>
        <v>-412269.80692581797</v>
      </c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4.25" customHeight="1" x14ac:dyDescent="0.15">
      <c r="A424" s="70">
        <v>406</v>
      </c>
      <c r="B424" s="80">
        <f t="shared" si="3"/>
        <v>-515.33725865727251</v>
      </c>
      <c r="C424" s="76">
        <f t="shared" si="5"/>
        <v>9480.5472586572723</v>
      </c>
      <c r="D424" s="76">
        <f t="shared" si="4"/>
        <v>-421750.35418447526</v>
      </c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4.25" customHeight="1" x14ac:dyDescent="0.15">
      <c r="A425" s="70">
        <v>407</v>
      </c>
      <c r="B425" s="80">
        <f t="shared" si="3"/>
        <v>-527.18794273059405</v>
      </c>
      <c r="C425" s="76">
        <f t="shared" si="5"/>
        <v>9492.3979427305931</v>
      </c>
      <c r="D425" s="76">
        <f t="shared" si="4"/>
        <v>-431242.75212720584</v>
      </c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4.25" customHeight="1" x14ac:dyDescent="0.15">
      <c r="A426" s="70">
        <v>408</v>
      </c>
      <c r="B426" s="80">
        <f t="shared" si="3"/>
        <v>-539.05344015900732</v>
      </c>
      <c r="C426" s="76">
        <f t="shared" si="5"/>
        <v>9504.2634401590058</v>
      </c>
      <c r="D426" s="76">
        <f t="shared" si="4"/>
        <v>-440747.01556736487</v>
      </c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4.25" customHeight="1" x14ac:dyDescent="0.15">
      <c r="A427" s="70">
        <v>409</v>
      </c>
      <c r="B427" s="80">
        <f t="shared" si="3"/>
        <v>-550.93376945920613</v>
      </c>
      <c r="C427" s="76">
        <f t="shared" si="5"/>
        <v>9516.1437694592059</v>
      </c>
      <c r="D427" s="76">
        <f t="shared" si="4"/>
        <v>-450263.15933682409</v>
      </c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4.25" customHeight="1" x14ac:dyDescent="0.15">
      <c r="A428" s="70">
        <v>410</v>
      </c>
      <c r="B428" s="80">
        <f t="shared" si="3"/>
        <v>-562.8289491710301</v>
      </c>
      <c r="C428" s="76">
        <f t="shared" si="5"/>
        <v>9528.0389491710284</v>
      </c>
      <c r="D428" s="76">
        <f t="shared" si="4"/>
        <v>-459791.19828599511</v>
      </c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4.25" customHeight="1" x14ac:dyDescent="0.15">
      <c r="A429" s="70">
        <v>411</v>
      </c>
      <c r="B429" s="80">
        <f t="shared" si="3"/>
        <v>-574.73899785749393</v>
      </c>
      <c r="C429" s="76">
        <f t="shared" si="5"/>
        <v>9539.9489978574929</v>
      </c>
      <c r="D429" s="76">
        <f t="shared" si="4"/>
        <v>-469331.14728385262</v>
      </c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4.25" customHeight="1" x14ac:dyDescent="0.15">
      <c r="A430" s="70">
        <v>412</v>
      </c>
      <c r="B430" s="80">
        <f t="shared" si="3"/>
        <v>-586.66393410481578</v>
      </c>
      <c r="C430" s="76">
        <f t="shared" si="5"/>
        <v>9551.8739341048149</v>
      </c>
      <c r="D430" s="76">
        <f t="shared" si="4"/>
        <v>-478883.02121795743</v>
      </c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4.25" customHeight="1" x14ac:dyDescent="0.15">
      <c r="A431" s="70">
        <v>413</v>
      </c>
      <c r="B431" s="80">
        <f t="shared" si="3"/>
        <v>-598.60377652244676</v>
      </c>
      <c r="C431" s="76">
        <f t="shared" si="5"/>
        <v>9563.8137765224456</v>
      </c>
      <c r="D431" s="76">
        <f t="shared" si="4"/>
        <v>-488446.8349944799</v>
      </c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4.25" customHeight="1" x14ac:dyDescent="0.15">
      <c r="A432" s="70">
        <v>414</v>
      </c>
      <c r="B432" s="80">
        <f t="shared" si="3"/>
        <v>-610.5585437430999</v>
      </c>
      <c r="C432" s="76">
        <f t="shared" si="5"/>
        <v>9575.7685437430991</v>
      </c>
      <c r="D432" s="76">
        <f t="shared" si="4"/>
        <v>-498022.60353822302</v>
      </c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4.25" customHeight="1" x14ac:dyDescent="0.15">
      <c r="A433" s="70">
        <v>415</v>
      </c>
      <c r="B433" s="80">
        <f t="shared" si="3"/>
        <v>-622.52825442277879</v>
      </c>
      <c r="C433" s="76">
        <f t="shared" si="5"/>
        <v>9587.7382544227785</v>
      </c>
      <c r="D433" s="76">
        <f t="shared" si="4"/>
        <v>-507610.34179264581</v>
      </c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4.25" customHeight="1" x14ac:dyDescent="0.15">
      <c r="A434" s="70">
        <v>416</v>
      </c>
      <c r="B434" s="80">
        <f t="shared" si="3"/>
        <v>-634.51292724080724</v>
      </c>
      <c r="C434" s="76">
        <f t="shared" si="5"/>
        <v>9599.7229272408058</v>
      </c>
      <c r="D434" s="76">
        <f t="shared" si="4"/>
        <v>-517210.06471988664</v>
      </c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4.25" customHeight="1" x14ac:dyDescent="0.15">
      <c r="A435" s="70">
        <v>417</v>
      </c>
      <c r="B435" s="80">
        <f t="shared" si="3"/>
        <v>-646.51258089985834</v>
      </c>
      <c r="C435" s="76">
        <f t="shared" si="5"/>
        <v>9611.7225808998573</v>
      </c>
      <c r="D435" s="76">
        <f t="shared" si="4"/>
        <v>-526821.78730078647</v>
      </c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4.25" customHeight="1" x14ac:dyDescent="0.15">
      <c r="A436" s="70">
        <v>418</v>
      </c>
      <c r="B436" s="80">
        <f t="shared" si="3"/>
        <v>-658.52723412598311</v>
      </c>
      <c r="C436" s="76">
        <f t="shared" si="5"/>
        <v>9623.7372341259816</v>
      </c>
      <c r="D436" s="76">
        <f t="shared" si="4"/>
        <v>-536445.52453491243</v>
      </c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4.25" customHeight="1" x14ac:dyDescent="0.15">
      <c r="A437" s="70">
        <v>419</v>
      </c>
      <c r="B437" s="80">
        <f t="shared" si="3"/>
        <v>-670.55690566864052</v>
      </c>
      <c r="C437" s="76">
        <f t="shared" si="5"/>
        <v>9635.7669056686391</v>
      </c>
      <c r="D437" s="76">
        <f t="shared" si="4"/>
        <v>-546081.29144058109</v>
      </c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4.25" customHeight="1" x14ac:dyDescent="0.15">
      <c r="A438" s="70">
        <v>420</v>
      </c>
      <c r="B438" s="80">
        <f t="shared" si="3"/>
        <v>-682.60161430072628</v>
      </c>
      <c r="C438" s="76">
        <f t="shared" si="5"/>
        <v>9647.8116143007246</v>
      </c>
      <c r="D438" s="76">
        <f t="shared" si="4"/>
        <v>-555729.10305488179</v>
      </c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4.25" customHeight="1" x14ac:dyDescent="0.15">
      <c r="A439" s="70">
        <v>421</v>
      </c>
      <c r="B439" s="80">
        <f t="shared" si="3"/>
        <v>-694.66137881860232</v>
      </c>
      <c r="C439" s="76">
        <f t="shared" si="5"/>
        <v>9659.8713788186014</v>
      </c>
      <c r="D439" s="76">
        <f t="shared" si="4"/>
        <v>-565388.97443370044</v>
      </c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4.25" customHeight="1" x14ac:dyDescent="0.15">
      <c r="A440" s="70">
        <v>422</v>
      </c>
      <c r="B440" s="80">
        <f t="shared" si="3"/>
        <v>-706.73621804212553</v>
      </c>
      <c r="C440" s="76">
        <f t="shared" si="5"/>
        <v>9671.9462180421251</v>
      </c>
      <c r="D440" s="76">
        <f t="shared" si="4"/>
        <v>-575060.92065174261</v>
      </c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4.25" customHeight="1" x14ac:dyDescent="0.15">
      <c r="A441" s="70">
        <v>423</v>
      </c>
      <c r="B441" s="80">
        <f t="shared" si="3"/>
        <v>-718.82615081467827</v>
      </c>
      <c r="C441" s="76">
        <f t="shared" si="5"/>
        <v>9684.036150814678</v>
      </c>
      <c r="D441" s="76">
        <f t="shared" si="4"/>
        <v>-584744.95680255734</v>
      </c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4.25" customHeight="1" x14ac:dyDescent="0.15">
      <c r="A442" s="70">
        <v>424</v>
      </c>
      <c r="B442" s="80">
        <f t="shared" si="3"/>
        <v>-730.93119600319665</v>
      </c>
      <c r="C442" s="76">
        <f t="shared" si="5"/>
        <v>9696.1411960031965</v>
      </c>
      <c r="D442" s="76">
        <f t="shared" si="4"/>
        <v>-594441.09799856052</v>
      </c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4.25" customHeight="1" x14ac:dyDescent="0.15">
      <c r="A443" s="70">
        <v>425</v>
      </c>
      <c r="B443" s="80">
        <f t="shared" si="3"/>
        <v>-743.05137249820064</v>
      </c>
      <c r="C443" s="76">
        <f t="shared" si="5"/>
        <v>9708.2613724982002</v>
      </c>
      <c r="D443" s="76">
        <f t="shared" si="4"/>
        <v>-604149.35937105876</v>
      </c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4.25" customHeight="1" x14ac:dyDescent="0.15">
      <c r="A444" s="70">
        <v>426</v>
      </c>
      <c r="B444" s="80">
        <f t="shared" si="3"/>
        <v>-755.18669921382343</v>
      </c>
      <c r="C444" s="76">
        <f t="shared" si="5"/>
        <v>9720.396699213823</v>
      </c>
      <c r="D444" s="76">
        <f t="shared" si="4"/>
        <v>-613869.75607027253</v>
      </c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4.25" customHeight="1" x14ac:dyDescent="0.15">
      <c r="A445" s="70">
        <v>427</v>
      </c>
      <c r="B445" s="80">
        <f t="shared" si="3"/>
        <v>-767.33719508784077</v>
      </c>
      <c r="C445" s="76">
        <f t="shared" si="5"/>
        <v>9732.54719508784</v>
      </c>
      <c r="D445" s="76">
        <f t="shared" si="4"/>
        <v>-623602.30326536042</v>
      </c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4.25" customHeight="1" x14ac:dyDescent="0.15">
      <c r="A446" s="70">
        <v>428</v>
      </c>
      <c r="B446" s="80">
        <f t="shared" si="3"/>
        <v>-779.5028790817006</v>
      </c>
      <c r="C446" s="76">
        <f t="shared" si="5"/>
        <v>9744.7128790817005</v>
      </c>
      <c r="D446" s="76">
        <f t="shared" si="4"/>
        <v>-633347.01614444214</v>
      </c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4.25" customHeight="1" x14ac:dyDescent="0.15">
      <c r="A447" s="70">
        <v>429</v>
      </c>
      <c r="B447" s="80">
        <f t="shared" si="3"/>
        <v>-791.68377018055264</v>
      </c>
      <c r="C447" s="76">
        <f t="shared" si="5"/>
        <v>9756.8937701805517</v>
      </c>
      <c r="D447" s="76">
        <f t="shared" si="4"/>
        <v>-643103.90991462267</v>
      </c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4.25" customHeight="1" x14ac:dyDescent="0.15">
      <c r="A448" s="70">
        <v>430</v>
      </c>
      <c r="B448" s="80">
        <f t="shared" si="3"/>
        <v>-803.87988739327841</v>
      </c>
      <c r="C448" s="76">
        <f t="shared" si="5"/>
        <v>9769.0898873932783</v>
      </c>
      <c r="D448" s="76">
        <f t="shared" si="4"/>
        <v>-652872.99980201595</v>
      </c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4.25" customHeight="1" x14ac:dyDescent="0.15">
      <c r="A449" s="70">
        <v>431</v>
      </c>
      <c r="B449" s="80">
        <f t="shared" si="3"/>
        <v>-816.09124975251996</v>
      </c>
      <c r="C449" s="76">
        <f t="shared" si="5"/>
        <v>9781.3012497525197</v>
      </c>
      <c r="D449" s="76">
        <f t="shared" si="4"/>
        <v>-662654.30105176847</v>
      </c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4.25" customHeight="1" x14ac:dyDescent="0.15">
      <c r="A450" s="70">
        <v>432</v>
      </c>
      <c r="B450" s="80">
        <f t="shared" si="3"/>
        <v>-828.31787631471059</v>
      </c>
      <c r="C450" s="76">
        <f t="shared" si="5"/>
        <v>9793.5278763147089</v>
      </c>
      <c r="D450" s="76">
        <f t="shared" si="4"/>
        <v>-672447.82892808318</v>
      </c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4.25" customHeight="1" x14ac:dyDescent="0.15">
      <c r="A451" s="70">
        <v>433</v>
      </c>
      <c r="B451" s="80">
        <f t="shared" si="3"/>
        <v>-840.55978616010407</v>
      </c>
      <c r="C451" s="76">
        <f t="shared" si="5"/>
        <v>9805.7697861601027</v>
      </c>
      <c r="D451" s="76">
        <f t="shared" si="4"/>
        <v>-682253.59871424327</v>
      </c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4.25" customHeight="1" x14ac:dyDescent="0.15">
      <c r="A452" s="70">
        <v>434</v>
      </c>
      <c r="B452" s="80">
        <f t="shared" si="3"/>
        <v>-852.81699839280418</v>
      </c>
      <c r="C452" s="76">
        <f t="shared" si="5"/>
        <v>9818.0269983928029</v>
      </c>
      <c r="D452" s="76">
        <f t="shared" si="4"/>
        <v>-692071.62571263604</v>
      </c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4.25" customHeight="1" x14ac:dyDescent="0.15">
      <c r="A453" s="70">
        <v>435</v>
      </c>
      <c r="B453" s="80">
        <f t="shared" si="3"/>
        <v>-865.08953214079509</v>
      </c>
      <c r="C453" s="76">
        <f t="shared" si="5"/>
        <v>9830.2995321407943</v>
      </c>
      <c r="D453" s="76">
        <f t="shared" si="4"/>
        <v>-701901.92524477688</v>
      </c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4.25" customHeight="1" x14ac:dyDescent="0.15">
      <c r="A454" s="70">
        <v>436</v>
      </c>
      <c r="B454" s="80">
        <f t="shared" si="3"/>
        <v>-877.37740655597111</v>
      </c>
      <c r="C454" s="76">
        <f t="shared" si="5"/>
        <v>9842.587406555971</v>
      </c>
      <c r="D454" s="76">
        <f t="shared" si="4"/>
        <v>-711744.51265133289</v>
      </c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4.25" customHeight="1" x14ac:dyDescent="0.15">
      <c r="A455" s="70">
        <v>437</v>
      </c>
      <c r="B455" s="80">
        <f t="shared" si="3"/>
        <v>-889.68064081416617</v>
      </c>
      <c r="C455" s="76">
        <f t="shared" si="5"/>
        <v>9854.8906408141647</v>
      </c>
      <c r="D455" s="76">
        <f t="shared" si="4"/>
        <v>-721599.40329214709</v>
      </c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4.25" customHeight="1" x14ac:dyDescent="0.15">
      <c r="A456" s="70">
        <v>438</v>
      </c>
      <c r="B456" s="80">
        <f t="shared" si="3"/>
        <v>-901.99925411518393</v>
      </c>
      <c r="C456" s="76">
        <f t="shared" si="5"/>
        <v>9867.2092541151833</v>
      </c>
      <c r="D456" s="76">
        <f t="shared" si="4"/>
        <v>-731466.61254626233</v>
      </c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4.25" customHeight="1" x14ac:dyDescent="0.15">
      <c r="A457" s="70">
        <v>439</v>
      </c>
      <c r="B457" s="80">
        <f t="shared" si="3"/>
        <v>-914.33326568282791</v>
      </c>
      <c r="C457" s="76">
        <f t="shared" si="5"/>
        <v>9879.543265682827</v>
      </c>
      <c r="D457" s="76">
        <f t="shared" si="4"/>
        <v>-741346.15581194521</v>
      </c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4.25" customHeight="1" x14ac:dyDescent="0.15">
      <c r="A458" s="70">
        <v>440</v>
      </c>
      <c r="B458" s="80">
        <f t="shared" si="3"/>
        <v>-926.68269476493151</v>
      </c>
      <c r="C458" s="76">
        <f t="shared" si="5"/>
        <v>9891.8926947649306</v>
      </c>
      <c r="D458" s="76">
        <f t="shared" si="4"/>
        <v>-751238.0485067101</v>
      </c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4.25" customHeight="1" x14ac:dyDescent="0.15">
      <c r="A459" s="70">
        <v>441</v>
      </c>
      <c r="B459" s="80">
        <f t="shared" si="3"/>
        <v>-939.04756063338766</v>
      </c>
      <c r="C459" s="76">
        <f t="shared" si="5"/>
        <v>9904.2575606333867</v>
      </c>
      <c r="D459" s="76">
        <f t="shared" si="4"/>
        <v>-761142.30606734345</v>
      </c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4.25" customHeight="1" x14ac:dyDescent="0.15">
      <c r="A460" s="70">
        <v>442</v>
      </c>
      <c r="B460" s="80">
        <f t="shared" si="3"/>
        <v>-951.42788258417932</v>
      </c>
      <c r="C460" s="76">
        <f t="shared" si="5"/>
        <v>9916.6378825841784</v>
      </c>
      <c r="D460" s="76">
        <f t="shared" si="4"/>
        <v>-771058.94394992758</v>
      </c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4.25" customHeight="1" x14ac:dyDescent="0.15">
      <c r="A461" s="70">
        <v>443</v>
      </c>
      <c r="B461" s="80">
        <f t="shared" si="3"/>
        <v>-963.82367993740945</v>
      </c>
      <c r="C461" s="76">
        <f t="shared" si="5"/>
        <v>9929.033679937409</v>
      </c>
      <c r="D461" s="76">
        <f t="shared" si="4"/>
        <v>-780987.97762986494</v>
      </c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4.25" customHeight="1" x14ac:dyDescent="0.15">
      <c r="A462" s="70">
        <v>444</v>
      </c>
      <c r="B462" s="80">
        <f t="shared" si="3"/>
        <v>-976.2349720373312</v>
      </c>
      <c r="C462" s="76">
        <f t="shared" si="5"/>
        <v>9941.4449720373304</v>
      </c>
      <c r="D462" s="76">
        <f t="shared" si="4"/>
        <v>-790929.42260190228</v>
      </c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4.25" customHeight="1" x14ac:dyDescent="0.15">
      <c r="A463" s="70">
        <v>445</v>
      </c>
      <c r="B463" s="80">
        <f t="shared" si="3"/>
        <v>-988.66177825237787</v>
      </c>
      <c r="C463" s="76">
        <f t="shared" si="5"/>
        <v>9953.8717782523763</v>
      </c>
      <c r="D463" s="76">
        <f t="shared" si="4"/>
        <v>-800883.29438015469</v>
      </c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4.25" customHeight="1" x14ac:dyDescent="0.15">
      <c r="A464" s="70">
        <v>446</v>
      </c>
      <c r="B464" s="80">
        <f t="shared" si="3"/>
        <v>-1001.1041179751935</v>
      </c>
      <c r="C464" s="76">
        <f t="shared" si="5"/>
        <v>9966.3141179751929</v>
      </c>
      <c r="D464" s="76">
        <f t="shared" si="4"/>
        <v>-810849.60849812988</v>
      </c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4.25" customHeight="1" x14ac:dyDescent="0.15">
      <c r="A465" s="70">
        <v>447</v>
      </c>
      <c r="B465" s="80">
        <f t="shared" si="3"/>
        <v>-1013.5620106226623</v>
      </c>
      <c r="C465" s="76">
        <f t="shared" si="5"/>
        <v>9978.7720106226607</v>
      </c>
      <c r="D465" s="76">
        <f t="shared" si="4"/>
        <v>-820828.38050875254</v>
      </c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4.25" customHeight="1" x14ac:dyDescent="0.15">
      <c r="A466" s="70">
        <v>448</v>
      </c>
      <c r="B466" s="80">
        <f t="shared" si="3"/>
        <v>-1026.0354756359407</v>
      </c>
      <c r="C466" s="76">
        <f t="shared" si="5"/>
        <v>9991.2454756359402</v>
      </c>
      <c r="D466" s="76">
        <f t="shared" si="4"/>
        <v>-830819.62598438852</v>
      </c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4.25" customHeight="1" x14ac:dyDescent="0.15">
      <c r="A467" s="70">
        <v>449</v>
      </c>
      <c r="B467" s="80">
        <f t="shared" si="3"/>
        <v>-1038.5245324804857</v>
      </c>
      <c r="C467" s="76">
        <f t="shared" si="5"/>
        <v>10003.734532480485</v>
      </c>
      <c r="D467" s="76">
        <f t="shared" si="4"/>
        <v>-840823.360516869</v>
      </c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4.25" customHeight="1" x14ac:dyDescent="0.15">
      <c r="A468" s="70">
        <v>450</v>
      </c>
      <c r="B468" s="80">
        <f t="shared" si="3"/>
        <v>-1051.0292006460863</v>
      </c>
      <c r="C468" s="76">
        <f t="shared" si="5"/>
        <v>10016.239200646085</v>
      </c>
      <c r="D468" s="76">
        <f t="shared" si="4"/>
        <v>-850839.59971751506</v>
      </c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4.25" customHeight="1" x14ac:dyDescent="0.15">
      <c r="A469" s="70">
        <v>451</v>
      </c>
      <c r="B469" s="80">
        <f t="shared" si="3"/>
        <v>-1063.5494996468938</v>
      </c>
      <c r="C469" s="76">
        <f t="shared" si="5"/>
        <v>10028.759499646892</v>
      </c>
      <c r="D469" s="76">
        <f t="shared" si="4"/>
        <v>-860868.35921716189</v>
      </c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4.25" customHeight="1" x14ac:dyDescent="0.15">
      <c r="A470" s="70">
        <v>452</v>
      </c>
      <c r="B470" s="80">
        <f t="shared" si="3"/>
        <v>-1076.0854490214524</v>
      </c>
      <c r="C470" s="76">
        <f t="shared" si="5"/>
        <v>10041.295449021451</v>
      </c>
      <c r="D470" s="76">
        <f t="shared" si="4"/>
        <v>-870909.6546661834</v>
      </c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4.25" customHeight="1" x14ac:dyDescent="0.15">
      <c r="A471" s="70">
        <v>453</v>
      </c>
      <c r="B471" s="80">
        <f t="shared" si="3"/>
        <v>-1088.6370683327293</v>
      </c>
      <c r="C471" s="76">
        <f t="shared" si="5"/>
        <v>10053.847068332729</v>
      </c>
      <c r="D471" s="76">
        <f t="shared" si="4"/>
        <v>-880963.50173451612</v>
      </c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4.25" customHeight="1" x14ac:dyDescent="0.15">
      <c r="A472" s="70">
        <v>454</v>
      </c>
      <c r="B472" s="80">
        <f t="shared" si="3"/>
        <v>-1101.2043771681451</v>
      </c>
      <c r="C472" s="76">
        <f t="shared" si="5"/>
        <v>10066.414377168145</v>
      </c>
      <c r="D472" s="76">
        <f t="shared" si="4"/>
        <v>-891029.91611168429</v>
      </c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4.25" customHeight="1" x14ac:dyDescent="0.15">
      <c r="A473" s="70">
        <v>455</v>
      </c>
      <c r="B473" s="80">
        <f t="shared" si="3"/>
        <v>-1113.7873951396055</v>
      </c>
      <c r="C473" s="76">
        <f t="shared" si="5"/>
        <v>10078.997395139604</v>
      </c>
      <c r="D473" s="76">
        <f t="shared" si="4"/>
        <v>-901108.91350682394</v>
      </c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4.25" customHeight="1" x14ac:dyDescent="0.15">
      <c r="A474" s="70">
        <v>456</v>
      </c>
      <c r="B474" s="80">
        <f t="shared" si="3"/>
        <v>-1126.3861418835299</v>
      </c>
      <c r="C474" s="76">
        <f t="shared" si="5"/>
        <v>10091.596141883529</v>
      </c>
      <c r="D474" s="76">
        <f t="shared" si="4"/>
        <v>-911200.50964870746</v>
      </c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4.25" customHeight="1" x14ac:dyDescent="0.15">
      <c r="A475" s="70">
        <v>457</v>
      </c>
      <c r="B475" s="80">
        <f t="shared" si="3"/>
        <v>-1139.0006370608844</v>
      </c>
      <c r="C475" s="76">
        <f t="shared" si="5"/>
        <v>10104.210637060884</v>
      </c>
      <c r="D475" s="76">
        <f t="shared" si="4"/>
        <v>-921304.72028576839</v>
      </c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4.25" customHeight="1" x14ac:dyDescent="0.15">
      <c r="A476" s="70">
        <v>458</v>
      </c>
      <c r="B476" s="80">
        <f t="shared" si="3"/>
        <v>-1151.6309003572105</v>
      </c>
      <c r="C476" s="76">
        <f t="shared" si="5"/>
        <v>10116.840900357209</v>
      </c>
      <c r="D476" s="76">
        <f t="shared" si="4"/>
        <v>-931421.56118612562</v>
      </c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4.25" customHeight="1" x14ac:dyDescent="0.15">
      <c r="A477" s="70">
        <v>459</v>
      </c>
      <c r="B477" s="80">
        <f t="shared" si="3"/>
        <v>-1164.2769514826571</v>
      </c>
      <c r="C477" s="76">
        <f t="shared" si="5"/>
        <v>10129.486951482657</v>
      </c>
      <c r="D477" s="76">
        <f t="shared" si="4"/>
        <v>-941551.04813760822</v>
      </c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4.25" customHeight="1" x14ac:dyDescent="0.15">
      <c r="A478" s="70">
        <v>460</v>
      </c>
      <c r="B478" s="80">
        <f t="shared" si="3"/>
        <v>-1176.9388101720103</v>
      </c>
      <c r="C478" s="76">
        <f t="shared" si="5"/>
        <v>10142.14881017201</v>
      </c>
      <c r="D478" s="76">
        <f t="shared" si="4"/>
        <v>-951693.1969477802</v>
      </c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4.25" customHeight="1" x14ac:dyDescent="0.15">
      <c r="A479" s="70">
        <v>461</v>
      </c>
      <c r="B479" s="80">
        <f t="shared" si="3"/>
        <v>-1189.6164961847253</v>
      </c>
      <c r="C479" s="76">
        <f t="shared" si="5"/>
        <v>10154.826496184724</v>
      </c>
      <c r="D479" s="76">
        <f t="shared" si="4"/>
        <v>-961848.02344396489</v>
      </c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4.25" customHeight="1" x14ac:dyDescent="0.15">
      <c r="A480" s="70">
        <v>462</v>
      </c>
      <c r="B480" s="80">
        <f t="shared" si="3"/>
        <v>-1202.3100293049561</v>
      </c>
      <c r="C480" s="76">
        <f t="shared" si="5"/>
        <v>10167.520029304955</v>
      </c>
      <c r="D480" s="76">
        <f t="shared" si="4"/>
        <v>-972015.54347326979</v>
      </c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4.25" customHeight="1" x14ac:dyDescent="0.15">
      <c r="A481" s="70">
        <v>463</v>
      </c>
      <c r="B481" s="80">
        <f t="shared" si="3"/>
        <v>-1215.0194293415873</v>
      </c>
      <c r="C481" s="76">
        <f t="shared" si="5"/>
        <v>10180.229429341587</v>
      </c>
      <c r="D481" s="76">
        <f t="shared" si="4"/>
        <v>-982195.77290261141</v>
      </c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4.25" customHeight="1" x14ac:dyDescent="0.15">
      <c r="A482" s="70">
        <v>464</v>
      </c>
      <c r="B482" s="80">
        <f t="shared" si="3"/>
        <v>-1227.7447161282644</v>
      </c>
      <c r="C482" s="76">
        <f t="shared" si="5"/>
        <v>10192.954716128264</v>
      </c>
      <c r="D482" s="76">
        <f t="shared" si="4"/>
        <v>-992388.72761873971</v>
      </c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4.25" customHeight="1" x14ac:dyDescent="0.15">
      <c r="A483" s="70">
        <v>465</v>
      </c>
      <c r="B483" s="80">
        <f t="shared" si="3"/>
        <v>-1240.4859095234247</v>
      </c>
      <c r="C483" s="76">
        <f t="shared" si="5"/>
        <v>10205.695909523423</v>
      </c>
      <c r="D483" s="76">
        <f t="shared" si="4"/>
        <v>-1002594.4235282631</v>
      </c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4.25" customHeight="1" x14ac:dyDescent="0.15">
      <c r="A484" s="70">
        <v>466</v>
      </c>
      <c r="B484" s="80">
        <f t="shared" si="3"/>
        <v>-1253.243029410329</v>
      </c>
      <c r="C484" s="76">
        <f t="shared" si="5"/>
        <v>10218.453029410328</v>
      </c>
      <c r="D484" s="76">
        <f t="shared" si="4"/>
        <v>-1012812.8765576734</v>
      </c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4.25" customHeight="1" x14ac:dyDescent="0.15">
      <c r="A485" s="70">
        <v>467</v>
      </c>
      <c r="B485" s="80">
        <f t="shared" si="3"/>
        <v>-1266.0160956970917</v>
      </c>
      <c r="C485" s="76">
        <f t="shared" si="5"/>
        <v>10231.226095697091</v>
      </c>
      <c r="D485" s="76">
        <f t="shared" si="4"/>
        <v>-1023044.1026533706</v>
      </c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4.25" customHeight="1" x14ac:dyDescent="0.15">
      <c r="A486" s="70">
        <v>468</v>
      </c>
      <c r="B486" s="80">
        <f t="shared" si="3"/>
        <v>-1278.8051283167131</v>
      </c>
      <c r="C486" s="76">
        <f t="shared" si="5"/>
        <v>10244.015128316712</v>
      </c>
      <c r="D486" s="76">
        <f t="shared" si="4"/>
        <v>-1033288.1177816873</v>
      </c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4.25" customHeight="1" x14ac:dyDescent="0.15">
      <c r="A487" s="70">
        <v>469</v>
      </c>
      <c r="B487" s="80">
        <f t="shared" si="3"/>
        <v>-1291.6101472271091</v>
      </c>
      <c r="C487" s="76">
        <f t="shared" si="5"/>
        <v>10256.820147227108</v>
      </c>
      <c r="D487" s="76">
        <f t="shared" si="4"/>
        <v>-1043544.9379289144</v>
      </c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4.25" customHeight="1" x14ac:dyDescent="0.15">
      <c r="A488" s="70">
        <v>470</v>
      </c>
      <c r="B488" s="80">
        <f t="shared" si="3"/>
        <v>-1304.4311724111431</v>
      </c>
      <c r="C488" s="76">
        <f t="shared" si="5"/>
        <v>10269.641172411142</v>
      </c>
      <c r="D488" s="76">
        <f t="shared" si="4"/>
        <v>-1053814.5791013255</v>
      </c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4.25" customHeight="1" x14ac:dyDescent="0.15">
      <c r="A489" s="70">
        <v>471</v>
      </c>
      <c r="B489" s="80">
        <f t="shared" si="3"/>
        <v>-1317.268223876657</v>
      </c>
      <c r="C489" s="76">
        <f t="shared" si="5"/>
        <v>10282.478223876657</v>
      </c>
      <c r="D489" s="76">
        <f t="shared" si="4"/>
        <v>-1064097.057325202</v>
      </c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4.25" customHeight="1" x14ac:dyDescent="0.15">
      <c r="A490" s="70">
        <v>472</v>
      </c>
      <c r="B490" s="80">
        <f t="shared" si="3"/>
        <v>-1330.1213216565025</v>
      </c>
      <c r="C490" s="76">
        <f t="shared" si="5"/>
        <v>10295.331321656502</v>
      </c>
      <c r="D490" s="76">
        <f t="shared" si="4"/>
        <v>-1074392.3886468585</v>
      </c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4.25" customHeight="1" x14ac:dyDescent="0.15">
      <c r="A491" s="70">
        <v>473</v>
      </c>
      <c r="B491" s="80">
        <f t="shared" si="3"/>
        <v>-1342.9904858085731</v>
      </c>
      <c r="C491" s="76">
        <f t="shared" si="5"/>
        <v>10308.200485808573</v>
      </c>
      <c r="D491" s="76">
        <f t="shared" si="4"/>
        <v>-1084700.5891326671</v>
      </c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4.25" customHeight="1" x14ac:dyDescent="0.15">
      <c r="A492" s="70">
        <v>474</v>
      </c>
      <c r="B492" s="80">
        <f t="shared" si="3"/>
        <v>-1355.8757364158339</v>
      </c>
      <c r="C492" s="76">
        <f t="shared" si="5"/>
        <v>10321.085736415833</v>
      </c>
      <c r="D492" s="76">
        <f t="shared" si="4"/>
        <v>-1095021.6748690829</v>
      </c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4.25" customHeight="1" x14ac:dyDescent="0.15">
      <c r="A493" s="70">
        <v>475</v>
      </c>
      <c r="B493" s="80">
        <f t="shared" si="3"/>
        <v>-1368.7770935863534</v>
      </c>
      <c r="C493" s="76">
        <f t="shared" si="5"/>
        <v>10333.987093586353</v>
      </c>
      <c r="D493" s="76">
        <f t="shared" si="4"/>
        <v>-1105355.6619626691</v>
      </c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4.25" customHeight="1" x14ac:dyDescent="0.15">
      <c r="A494" s="70">
        <v>476</v>
      </c>
      <c r="B494" s="80">
        <f t="shared" si="3"/>
        <v>-1381.6945774533365</v>
      </c>
      <c r="C494" s="76">
        <f t="shared" si="5"/>
        <v>10346.904577453335</v>
      </c>
      <c r="D494" s="76">
        <f t="shared" si="4"/>
        <v>-1115702.5665401225</v>
      </c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4.25" customHeight="1" x14ac:dyDescent="0.15">
      <c r="A495" s="70">
        <v>477</v>
      </c>
      <c r="B495" s="80">
        <f t="shared" si="3"/>
        <v>-1394.6282081751533</v>
      </c>
      <c r="C495" s="76">
        <f t="shared" si="5"/>
        <v>10359.838208175152</v>
      </c>
      <c r="D495" s="76">
        <f t="shared" si="4"/>
        <v>-1126062.4047482978</v>
      </c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4.25" customHeight="1" x14ac:dyDescent="0.15">
      <c r="A496" s="70">
        <v>478</v>
      </c>
      <c r="B496" s="80">
        <f t="shared" si="3"/>
        <v>-1407.5780059353722</v>
      </c>
      <c r="C496" s="76">
        <f t="shared" si="5"/>
        <v>10372.788005935372</v>
      </c>
      <c r="D496" s="76">
        <f t="shared" si="4"/>
        <v>-1136435.192754233</v>
      </c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4.25" customHeight="1" x14ac:dyDescent="0.15">
      <c r="A497" s="70">
        <v>479</v>
      </c>
      <c r="B497" s="80">
        <f t="shared" si="3"/>
        <v>-1420.5439909427914</v>
      </c>
      <c r="C497" s="76">
        <f t="shared" si="5"/>
        <v>10385.753990942791</v>
      </c>
      <c r="D497" s="76">
        <f t="shared" si="4"/>
        <v>-1146820.9467451759</v>
      </c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4.25" customHeight="1" x14ac:dyDescent="0.15">
      <c r="A498" s="70">
        <v>480</v>
      </c>
      <c r="B498" s="80">
        <f t="shared" si="3"/>
        <v>-1433.5261834314699</v>
      </c>
      <c r="C498" s="76">
        <f t="shared" si="5"/>
        <v>10398.736183431469</v>
      </c>
      <c r="D498" s="76">
        <f t="shared" si="4"/>
        <v>-1157219.6829286073</v>
      </c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4.25" customHeight="1" x14ac:dyDescent="0.15">
      <c r="A499" s="70">
        <v>481</v>
      </c>
      <c r="B499" s="80">
        <f t="shared" si="3"/>
        <v>-1446.5246036607591</v>
      </c>
      <c r="C499" s="76">
        <f t="shared" si="5"/>
        <v>10411.734603660758</v>
      </c>
      <c r="D499" s="76">
        <f t="shared" si="4"/>
        <v>-1167631.417532268</v>
      </c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4.25" customHeight="1" x14ac:dyDescent="0.15">
      <c r="A500" s="70">
        <v>482</v>
      </c>
      <c r="B500" s="80">
        <f t="shared" si="3"/>
        <v>-1459.5392719153351</v>
      </c>
      <c r="C500" s="76">
        <f t="shared" si="5"/>
        <v>10424.749271915334</v>
      </c>
      <c r="D500" s="76">
        <f t="shared" si="4"/>
        <v>-1178056.1668041833</v>
      </c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4.25" customHeight="1" x14ac:dyDescent="0.15">
      <c r="A501" s="70">
        <v>483</v>
      </c>
      <c r="B501" s="80">
        <f t="shared" si="3"/>
        <v>-1472.5702085052292</v>
      </c>
      <c r="C501" s="76">
        <f t="shared" si="5"/>
        <v>10437.780208505228</v>
      </c>
      <c r="D501" s="76">
        <f t="shared" si="4"/>
        <v>-1188493.9470126885</v>
      </c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4.25" customHeight="1" x14ac:dyDescent="0.15">
      <c r="A502" s="70">
        <v>484</v>
      </c>
      <c r="B502" s="80">
        <f t="shared" si="3"/>
        <v>-1485.6174337658606</v>
      </c>
      <c r="C502" s="76">
        <f t="shared" si="5"/>
        <v>10450.82743376586</v>
      </c>
      <c r="D502" s="76">
        <f t="shared" si="4"/>
        <v>-1198944.7744464544</v>
      </c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4.25" customHeight="1" x14ac:dyDescent="0.15">
      <c r="A503" s="70">
        <v>485</v>
      </c>
      <c r="B503" s="80">
        <f t="shared" si="3"/>
        <v>-1498.6809680580679</v>
      </c>
      <c r="C503" s="76">
        <f t="shared" si="5"/>
        <v>10463.890968058067</v>
      </c>
      <c r="D503" s="76">
        <f t="shared" si="4"/>
        <v>-1209408.6654145124</v>
      </c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4.25" customHeight="1" x14ac:dyDescent="0.15">
      <c r="A504" s="70">
        <v>486</v>
      </c>
      <c r="B504" s="80">
        <f t="shared" si="3"/>
        <v>-1511.7608317681406</v>
      </c>
      <c r="C504" s="76">
        <f t="shared" si="5"/>
        <v>10476.97083176814</v>
      </c>
      <c r="D504" s="76">
        <f t="shared" si="4"/>
        <v>-1219885.6362462805</v>
      </c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4.25" customHeight="1" x14ac:dyDescent="0.15">
      <c r="A505" s="70">
        <v>487</v>
      </c>
      <c r="B505" s="80">
        <f t="shared" si="3"/>
        <v>-1524.8570453078505</v>
      </c>
      <c r="C505" s="76">
        <f t="shared" si="5"/>
        <v>10490.067045307849</v>
      </c>
      <c r="D505" s="76">
        <f t="shared" si="4"/>
        <v>-1230375.7032915885</v>
      </c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4.25" customHeight="1" x14ac:dyDescent="0.15">
      <c r="A506" s="70">
        <v>488</v>
      </c>
      <c r="B506" s="80">
        <f t="shared" si="3"/>
        <v>-1537.9696291144855</v>
      </c>
      <c r="C506" s="76">
        <f t="shared" si="5"/>
        <v>10503.179629114486</v>
      </c>
      <c r="D506" s="76">
        <f t="shared" si="4"/>
        <v>-1240878.8829207029</v>
      </c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4.25" customHeight="1" x14ac:dyDescent="0.15">
      <c r="A507" s="70">
        <v>489</v>
      </c>
      <c r="B507" s="80">
        <f t="shared" si="3"/>
        <v>-1551.0986036508787</v>
      </c>
      <c r="C507" s="76">
        <f t="shared" si="5"/>
        <v>10516.308603650878</v>
      </c>
      <c r="D507" s="76">
        <f t="shared" si="4"/>
        <v>-1251395.1915243538</v>
      </c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4.25" customHeight="1" x14ac:dyDescent="0.15">
      <c r="A508" s="70">
        <v>490</v>
      </c>
      <c r="B508" s="80">
        <f t="shared" si="3"/>
        <v>-1564.2439894054421</v>
      </c>
      <c r="C508" s="76">
        <f t="shared" si="5"/>
        <v>10529.453989405441</v>
      </c>
      <c r="D508" s="76">
        <f t="shared" si="4"/>
        <v>-1261924.6455137592</v>
      </c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4.25" customHeight="1" x14ac:dyDescent="0.15">
      <c r="A509" s="70">
        <v>491</v>
      </c>
      <c r="B509" s="80">
        <f t="shared" si="3"/>
        <v>-1577.4058068921991</v>
      </c>
      <c r="C509" s="76">
        <f t="shared" si="5"/>
        <v>10542.615806892198</v>
      </c>
      <c r="D509" s="76">
        <f t="shared" si="4"/>
        <v>-1272467.2613206515</v>
      </c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4.25" customHeight="1" x14ac:dyDescent="0.15">
      <c r="A510" s="70">
        <v>492</v>
      </c>
      <c r="B510" s="80">
        <f t="shared" si="3"/>
        <v>-1590.5840766508145</v>
      </c>
      <c r="C510" s="76">
        <f t="shared" si="5"/>
        <v>10555.794076650815</v>
      </c>
      <c r="D510" s="76">
        <f t="shared" si="4"/>
        <v>-1283023.0553973024</v>
      </c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4.25" customHeight="1" x14ac:dyDescent="0.15">
      <c r="A511" s="70">
        <v>493</v>
      </c>
      <c r="B511" s="80">
        <f t="shared" si="3"/>
        <v>-1603.7788192466282</v>
      </c>
      <c r="C511" s="76">
        <f t="shared" si="5"/>
        <v>10568.988819246628</v>
      </c>
      <c r="D511" s="76">
        <f t="shared" si="4"/>
        <v>-1293592.044216549</v>
      </c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4.25" customHeight="1" x14ac:dyDescent="0.15">
      <c r="A512" s="70">
        <v>494</v>
      </c>
      <c r="B512" s="80">
        <f t="shared" si="3"/>
        <v>-1616.9900552706863</v>
      </c>
      <c r="C512" s="76">
        <f t="shared" si="5"/>
        <v>10582.200055270685</v>
      </c>
      <c r="D512" s="76">
        <f t="shared" si="4"/>
        <v>-1304174.2442718197</v>
      </c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4.25" customHeight="1" x14ac:dyDescent="0.15">
      <c r="A513" s="70">
        <v>495</v>
      </c>
      <c r="B513" s="80">
        <f t="shared" si="3"/>
        <v>-1630.2178053397745</v>
      </c>
      <c r="C513" s="76">
        <f t="shared" si="5"/>
        <v>10595.427805339774</v>
      </c>
      <c r="D513" s="76">
        <f t="shared" si="4"/>
        <v>-1314769.6720771594</v>
      </c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4.25" customHeight="1" x14ac:dyDescent="0.15">
      <c r="A514" s="70">
        <v>496</v>
      </c>
      <c r="B514" s="80">
        <f t="shared" si="3"/>
        <v>-1643.4620900964494</v>
      </c>
      <c r="C514" s="76">
        <f t="shared" si="5"/>
        <v>10608.672090096448</v>
      </c>
      <c r="D514" s="76">
        <f t="shared" si="4"/>
        <v>-1325378.3441672558</v>
      </c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4.25" customHeight="1" x14ac:dyDescent="0.15">
      <c r="A515" s="70">
        <v>497</v>
      </c>
      <c r="B515" s="80">
        <f t="shared" si="3"/>
        <v>-1656.7229302090698</v>
      </c>
      <c r="C515" s="76">
        <f t="shared" si="5"/>
        <v>10621.932930209068</v>
      </c>
      <c r="D515" s="76">
        <f t="shared" si="4"/>
        <v>-1336000.2770974648</v>
      </c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4.25" customHeight="1" x14ac:dyDescent="0.15">
      <c r="A516" s="70">
        <v>498</v>
      </c>
      <c r="B516" s="80">
        <f t="shared" si="3"/>
        <v>-1670.000346371831</v>
      </c>
      <c r="C516" s="76">
        <f t="shared" si="5"/>
        <v>10635.21034637183</v>
      </c>
      <c r="D516" s="76">
        <f t="shared" si="4"/>
        <v>-1346635.4874438366</v>
      </c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4.25" customHeight="1" x14ac:dyDescent="0.15">
      <c r="A517" s="70">
        <v>499</v>
      </c>
      <c r="B517" s="80">
        <f t="shared" si="3"/>
        <v>-1683.2943593047958</v>
      </c>
      <c r="C517" s="76">
        <f t="shared" si="5"/>
        <v>10648.504359304796</v>
      </c>
      <c r="D517" s="76">
        <f t="shared" si="4"/>
        <v>-1357283.9918031415</v>
      </c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4.25" customHeight="1" x14ac:dyDescent="0.15">
      <c r="A518" s="70">
        <v>500</v>
      </c>
      <c r="B518" s="80">
        <f t="shared" si="3"/>
        <v>-1696.6049897539269</v>
      </c>
      <c r="C518" s="76">
        <f t="shared" si="5"/>
        <v>10661.814989753926</v>
      </c>
      <c r="D518" s="76">
        <f t="shared" si="4"/>
        <v>-1367945.8067928955</v>
      </c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4.25" customHeight="1" x14ac:dyDescent="0.15">
      <c r="A519" s="70">
        <v>501</v>
      </c>
      <c r="B519" s="80">
        <f t="shared" si="3"/>
        <v>-1709.9322584911195</v>
      </c>
      <c r="C519" s="76">
        <f t="shared" si="5"/>
        <v>10675.142258491118</v>
      </c>
      <c r="D519" s="76">
        <f t="shared" si="4"/>
        <v>-1378620.9490513867</v>
      </c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4.25" customHeight="1" x14ac:dyDescent="0.15">
      <c r="A520" s="70">
        <v>502</v>
      </c>
      <c r="B520" s="80">
        <f t="shared" si="3"/>
        <v>-1723.2761863142334</v>
      </c>
      <c r="C520" s="76">
        <f t="shared" si="5"/>
        <v>10688.486186314232</v>
      </c>
      <c r="D520" s="76">
        <f t="shared" si="4"/>
        <v>-1389309.4352377008</v>
      </c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4.25" customHeight="1" x14ac:dyDescent="0.15">
      <c r="A521" s="70">
        <v>503</v>
      </c>
      <c r="B521" s="80">
        <f t="shared" si="3"/>
        <v>-1736.6367940471259</v>
      </c>
      <c r="C521" s="76">
        <f t="shared" si="5"/>
        <v>10701.846794047126</v>
      </c>
      <c r="D521" s="76">
        <f t="shared" si="4"/>
        <v>-1400011.282031748</v>
      </c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4.25" customHeight="1" x14ac:dyDescent="0.15">
      <c r="A522" s="70">
        <v>504</v>
      </c>
      <c r="B522" s="80">
        <f t="shared" si="3"/>
        <v>-1750.0141025396852</v>
      </c>
      <c r="C522" s="76">
        <f t="shared" si="5"/>
        <v>10715.224102539683</v>
      </c>
      <c r="D522" s="76">
        <f t="shared" si="4"/>
        <v>-1410726.5061342877</v>
      </c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4.25" customHeight="1" x14ac:dyDescent="0.15">
      <c r="A523" s="70">
        <v>505</v>
      </c>
      <c r="B523" s="80">
        <f t="shared" si="3"/>
        <v>-1763.4081326678597</v>
      </c>
      <c r="C523" s="76">
        <f t="shared" si="5"/>
        <v>10728.61813266786</v>
      </c>
      <c r="D523" s="76">
        <f t="shared" si="4"/>
        <v>-1421455.1242669555</v>
      </c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4.25" customHeight="1" x14ac:dyDescent="0.15">
      <c r="A524" s="70">
        <v>506</v>
      </c>
      <c r="B524" s="80">
        <f t="shared" si="3"/>
        <v>-1776.8189053336946</v>
      </c>
      <c r="C524" s="76">
        <f t="shared" si="5"/>
        <v>10742.028905333693</v>
      </c>
      <c r="D524" s="76">
        <f t="shared" si="4"/>
        <v>-1432197.1531722893</v>
      </c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4.25" customHeight="1" x14ac:dyDescent="0.15">
      <c r="A525" s="70">
        <v>507</v>
      </c>
      <c r="B525" s="80">
        <f t="shared" si="3"/>
        <v>-1790.2464414653618</v>
      </c>
      <c r="C525" s="76">
        <f t="shared" si="5"/>
        <v>10755.456441465361</v>
      </c>
      <c r="D525" s="76">
        <f t="shared" si="4"/>
        <v>-1442952.6096137546</v>
      </c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4.25" customHeight="1" x14ac:dyDescent="0.15">
      <c r="A526" s="70">
        <v>508</v>
      </c>
      <c r="B526" s="80">
        <f t="shared" si="3"/>
        <v>-1803.690762017193</v>
      </c>
      <c r="C526" s="76">
        <f t="shared" si="5"/>
        <v>10768.900762017192</v>
      </c>
      <c r="D526" s="76">
        <f t="shared" si="4"/>
        <v>-1453721.5103757717</v>
      </c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4.25" customHeight="1" x14ac:dyDescent="0.15">
      <c r="A527" s="70">
        <v>509</v>
      </c>
      <c r="B527" s="80">
        <f t="shared" si="3"/>
        <v>-1817.1518879697146</v>
      </c>
      <c r="C527" s="76">
        <f t="shared" si="5"/>
        <v>10782.361887969713</v>
      </c>
      <c r="D527" s="76">
        <f t="shared" si="4"/>
        <v>-1464503.8722637414</v>
      </c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4.25" customHeight="1" x14ac:dyDescent="0.15">
      <c r="A528" s="70">
        <v>510</v>
      </c>
      <c r="B528" s="80">
        <f t="shared" si="3"/>
        <v>-1830.6298403296767</v>
      </c>
      <c r="C528" s="76">
        <f t="shared" si="5"/>
        <v>10795.839840329676</v>
      </c>
      <c r="D528" s="76">
        <f t="shared" si="4"/>
        <v>-1475299.7121040712</v>
      </c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4.25" customHeight="1" x14ac:dyDescent="0.15">
      <c r="A529" s="70">
        <v>511</v>
      </c>
      <c r="B529" s="80">
        <f t="shared" si="3"/>
        <v>-1844.1246401300889</v>
      </c>
      <c r="C529" s="76">
        <f t="shared" si="5"/>
        <v>10809.334640130088</v>
      </c>
      <c r="D529" s="76">
        <f t="shared" si="4"/>
        <v>-1486109.0467442013</v>
      </c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4.25" customHeight="1" x14ac:dyDescent="0.15">
      <c r="A530" s="70">
        <v>512</v>
      </c>
      <c r="B530" s="80">
        <f t="shared" ref="B530:B784" si="6">D529*$C$9/26</f>
        <v>-1857.6363084302516</v>
      </c>
      <c r="C530" s="76">
        <f t="shared" si="5"/>
        <v>10822.846308430251</v>
      </c>
      <c r="D530" s="76">
        <f t="shared" ref="D530:D784" si="7">D529-C530</f>
        <v>-1496931.8930526315</v>
      </c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4.25" customHeight="1" x14ac:dyDescent="0.15">
      <c r="A531" s="70">
        <v>513</v>
      </c>
      <c r="B531" s="80">
        <f t="shared" si="6"/>
        <v>-1871.1648663157894</v>
      </c>
      <c r="C531" s="76">
        <f t="shared" si="5"/>
        <v>10836.374866315789</v>
      </c>
      <c r="D531" s="76">
        <f t="shared" si="7"/>
        <v>-1507768.2679189474</v>
      </c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4.25" customHeight="1" x14ac:dyDescent="0.15">
      <c r="A532" s="70">
        <v>514</v>
      </c>
      <c r="B532" s="80">
        <f t="shared" si="6"/>
        <v>-1884.7103348986843</v>
      </c>
      <c r="C532" s="76">
        <f t="shared" si="5"/>
        <v>10849.920334898683</v>
      </c>
      <c r="D532" s="76">
        <f t="shared" si="7"/>
        <v>-1518618.188253846</v>
      </c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4.25" customHeight="1" x14ac:dyDescent="0.15">
      <c r="A533" s="70">
        <v>515</v>
      </c>
      <c r="B533" s="80">
        <f t="shared" si="6"/>
        <v>-1898.2727353173077</v>
      </c>
      <c r="C533" s="76">
        <f t="shared" si="5"/>
        <v>10863.482735317306</v>
      </c>
      <c r="D533" s="76">
        <f t="shared" si="7"/>
        <v>-1529481.6709891632</v>
      </c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4.25" customHeight="1" x14ac:dyDescent="0.15">
      <c r="A534" s="70">
        <v>516</v>
      </c>
      <c r="B534" s="80">
        <f t="shared" si="6"/>
        <v>-1911.8520887364541</v>
      </c>
      <c r="C534" s="76">
        <f t="shared" si="5"/>
        <v>10877.062088736453</v>
      </c>
      <c r="D534" s="76">
        <f t="shared" si="7"/>
        <v>-1540358.7330778998</v>
      </c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4.25" customHeight="1" x14ac:dyDescent="0.15">
      <c r="A535" s="70">
        <v>517</v>
      </c>
      <c r="B535" s="80">
        <f t="shared" si="6"/>
        <v>-1925.4484163473749</v>
      </c>
      <c r="C535" s="76">
        <f t="shared" si="5"/>
        <v>10890.658416347374</v>
      </c>
      <c r="D535" s="76">
        <f t="shared" si="7"/>
        <v>-1551249.3914942471</v>
      </c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4.25" customHeight="1" x14ac:dyDescent="0.15">
      <c r="A536" s="70">
        <v>518</v>
      </c>
      <c r="B536" s="80">
        <f t="shared" si="6"/>
        <v>-1939.061739367809</v>
      </c>
      <c r="C536" s="76">
        <f t="shared" si="5"/>
        <v>10904.271739367809</v>
      </c>
      <c r="D536" s="76">
        <f t="shared" si="7"/>
        <v>-1562153.663233615</v>
      </c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4.25" customHeight="1" x14ac:dyDescent="0.15">
      <c r="A537" s="70">
        <v>519</v>
      </c>
      <c r="B537" s="80">
        <f t="shared" si="6"/>
        <v>-1952.6920790420188</v>
      </c>
      <c r="C537" s="76">
        <f t="shared" si="5"/>
        <v>10917.902079042018</v>
      </c>
      <c r="D537" s="76">
        <f t="shared" si="7"/>
        <v>-1573071.565312657</v>
      </c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4.25" customHeight="1" x14ac:dyDescent="0.15">
      <c r="A538" s="70">
        <v>520</v>
      </c>
      <c r="B538" s="80">
        <f t="shared" si="6"/>
        <v>-1966.3394566408215</v>
      </c>
      <c r="C538" s="76">
        <f t="shared" si="5"/>
        <v>10931.54945664082</v>
      </c>
      <c r="D538" s="76">
        <f t="shared" si="7"/>
        <v>-1584003.1147692979</v>
      </c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4.25" customHeight="1" x14ac:dyDescent="0.15">
      <c r="A539" s="70">
        <v>521</v>
      </c>
      <c r="B539" s="80">
        <f t="shared" si="6"/>
        <v>-1980.0038934616225</v>
      </c>
      <c r="C539" s="76">
        <f t="shared" si="5"/>
        <v>10945.213893461621</v>
      </c>
      <c r="D539" s="76">
        <f t="shared" si="7"/>
        <v>-1594948.3286627594</v>
      </c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4.25" customHeight="1" x14ac:dyDescent="0.15">
      <c r="A540" s="70">
        <v>522</v>
      </c>
      <c r="B540" s="80">
        <f t="shared" si="6"/>
        <v>-1993.6854108284494</v>
      </c>
      <c r="C540" s="76">
        <f t="shared" si="5"/>
        <v>10958.895410828449</v>
      </c>
      <c r="D540" s="76">
        <f t="shared" si="7"/>
        <v>-1605907.2240735879</v>
      </c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4.25" customHeight="1" x14ac:dyDescent="0.15">
      <c r="A541" s="70">
        <v>523</v>
      </c>
      <c r="B541" s="80">
        <f t="shared" si="6"/>
        <v>-2007.3840300919849</v>
      </c>
      <c r="C541" s="76">
        <f t="shared" si="5"/>
        <v>10972.594030091985</v>
      </c>
      <c r="D541" s="76">
        <f t="shared" si="7"/>
        <v>-1616879.8181036799</v>
      </c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4.25" customHeight="1" x14ac:dyDescent="0.15">
      <c r="A542" s="70">
        <v>524</v>
      </c>
      <c r="B542" s="80">
        <f t="shared" si="6"/>
        <v>-2021.0997726296</v>
      </c>
      <c r="C542" s="76">
        <f t="shared" si="5"/>
        <v>10986.3097726296</v>
      </c>
      <c r="D542" s="76">
        <f t="shared" si="7"/>
        <v>-1627866.1278763094</v>
      </c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4.25" customHeight="1" x14ac:dyDescent="0.15">
      <c r="A543" s="70">
        <v>525</v>
      </c>
      <c r="B543" s="80">
        <f t="shared" si="6"/>
        <v>-2034.8326598453868</v>
      </c>
      <c r="C543" s="76">
        <f t="shared" si="5"/>
        <v>11000.042659845385</v>
      </c>
      <c r="D543" s="76">
        <f t="shared" si="7"/>
        <v>-1638866.1705361549</v>
      </c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4.25" customHeight="1" x14ac:dyDescent="0.15">
      <c r="A544" s="70">
        <v>526</v>
      </c>
      <c r="B544" s="80">
        <f t="shared" si="6"/>
        <v>-2048.5827131701935</v>
      </c>
      <c r="C544" s="76">
        <f t="shared" si="5"/>
        <v>11013.792713170193</v>
      </c>
      <c r="D544" s="76">
        <f t="shared" si="7"/>
        <v>-1649879.9632493251</v>
      </c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4.25" customHeight="1" x14ac:dyDescent="0.15">
      <c r="A545" s="70">
        <v>527</v>
      </c>
      <c r="B545" s="80">
        <f t="shared" si="6"/>
        <v>-2062.3499540616567</v>
      </c>
      <c r="C545" s="76">
        <f t="shared" si="5"/>
        <v>11027.559954061657</v>
      </c>
      <c r="D545" s="76">
        <f t="shared" si="7"/>
        <v>-1660907.5232033867</v>
      </c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4.25" customHeight="1" x14ac:dyDescent="0.15">
      <c r="A546" s="70">
        <v>528</v>
      </c>
      <c r="B546" s="80">
        <f t="shared" si="6"/>
        <v>-2076.1344040042336</v>
      </c>
      <c r="C546" s="76">
        <f t="shared" si="5"/>
        <v>11041.344404004232</v>
      </c>
      <c r="D546" s="76">
        <f t="shared" si="7"/>
        <v>-1671948.867607391</v>
      </c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4.25" customHeight="1" x14ac:dyDescent="0.15">
      <c r="A547" s="70">
        <v>529</v>
      </c>
      <c r="B547" s="80">
        <f t="shared" si="6"/>
        <v>-2089.9360845092388</v>
      </c>
      <c r="C547" s="76">
        <f t="shared" si="5"/>
        <v>11055.146084509237</v>
      </c>
      <c r="D547" s="76">
        <f t="shared" si="7"/>
        <v>-1683004.0136919003</v>
      </c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4.25" customHeight="1" x14ac:dyDescent="0.15">
      <c r="A548" s="70">
        <v>530</v>
      </c>
      <c r="B548" s="80">
        <f t="shared" si="6"/>
        <v>-2103.7550171148755</v>
      </c>
      <c r="C548" s="76">
        <f t="shared" si="5"/>
        <v>11068.965017114875</v>
      </c>
      <c r="D548" s="76">
        <f t="shared" si="7"/>
        <v>-1694072.9787090151</v>
      </c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4.25" customHeight="1" x14ac:dyDescent="0.15">
      <c r="A549" s="70">
        <v>531</v>
      </c>
      <c r="B549" s="80">
        <f t="shared" si="6"/>
        <v>-2117.5912233862687</v>
      </c>
      <c r="C549" s="76">
        <f t="shared" si="5"/>
        <v>11082.801223386268</v>
      </c>
      <c r="D549" s="76">
        <f t="shared" si="7"/>
        <v>-1705155.7799324014</v>
      </c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4.25" customHeight="1" x14ac:dyDescent="0.15">
      <c r="A550" s="70">
        <v>532</v>
      </c>
      <c r="B550" s="80">
        <f t="shared" si="6"/>
        <v>-2131.4447249155019</v>
      </c>
      <c r="C550" s="76">
        <f t="shared" si="5"/>
        <v>11096.654724915501</v>
      </c>
      <c r="D550" s="76">
        <f t="shared" si="7"/>
        <v>-1716252.4346573169</v>
      </c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4.25" customHeight="1" x14ac:dyDescent="0.15">
      <c r="A551" s="70">
        <v>533</v>
      </c>
      <c r="B551" s="80">
        <f t="shared" si="6"/>
        <v>-2145.3155433216461</v>
      </c>
      <c r="C551" s="76">
        <f t="shared" si="5"/>
        <v>11110.525543321644</v>
      </c>
      <c r="D551" s="76">
        <f t="shared" si="7"/>
        <v>-1727362.9602006385</v>
      </c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4.25" customHeight="1" x14ac:dyDescent="0.15">
      <c r="A552" s="70">
        <v>534</v>
      </c>
      <c r="B552" s="80">
        <f t="shared" si="6"/>
        <v>-2159.2037002507982</v>
      </c>
      <c r="C552" s="76">
        <f t="shared" si="5"/>
        <v>11124.413700250798</v>
      </c>
      <c r="D552" s="76">
        <f t="shared" si="7"/>
        <v>-1738487.3739008894</v>
      </c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4.25" customHeight="1" x14ac:dyDescent="0.15">
      <c r="A553" s="70">
        <v>535</v>
      </c>
      <c r="B553" s="80">
        <f t="shared" si="6"/>
        <v>-2173.1092173761117</v>
      </c>
      <c r="C553" s="76">
        <f t="shared" si="5"/>
        <v>11138.319217376111</v>
      </c>
      <c r="D553" s="76">
        <f t="shared" si="7"/>
        <v>-1749625.6931182656</v>
      </c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4.25" customHeight="1" x14ac:dyDescent="0.15">
      <c r="A554" s="70">
        <v>536</v>
      </c>
      <c r="B554" s="80">
        <f t="shared" si="6"/>
        <v>-2187.0321163978324</v>
      </c>
      <c r="C554" s="76">
        <f t="shared" si="5"/>
        <v>11152.242116397832</v>
      </c>
      <c r="D554" s="76">
        <f t="shared" si="7"/>
        <v>-1760777.9352346635</v>
      </c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4.25" customHeight="1" x14ac:dyDescent="0.15">
      <c r="A555" s="70">
        <v>537</v>
      </c>
      <c r="B555" s="80">
        <f t="shared" si="6"/>
        <v>-2200.9724190433294</v>
      </c>
      <c r="C555" s="76">
        <f t="shared" si="5"/>
        <v>11166.182419043329</v>
      </c>
      <c r="D555" s="76">
        <f t="shared" si="7"/>
        <v>-1771944.1176537068</v>
      </c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4.25" customHeight="1" x14ac:dyDescent="0.15">
      <c r="A556" s="70">
        <v>538</v>
      </c>
      <c r="B556" s="80">
        <f t="shared" si="6"/>
        <v>-2214.9301470671335</v>
      </c>
      <c r="C556" s="76">
        <f t="shared" si="5"/>
        <v>11180.140147067134</v>
      </c>
      <c r="D556" s="76">
        <f t="shared" si="7"/>
        <v>-1783124.257800774</v>
      </c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4.25" customHeight="1" x14ac:dyDescent="0.15">
      <c r="A557" s="70">
        <v>539</v>
      </c>
      <c r="B557" s="80">
        <f t="shared" si="6"/>
        <v>-2228.9053222509674</v>
      </c>
      <c r="C557" s="76">
        <f t="shared" si="5"/>
        <v>11194.115322250967</v>
      </c>
      <c r="D557" s="76">
        <f t="shared" si="7"/>
        <v>-1794318.3731230248</v>
      </c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4.25" customHeight="1" x14ac:dyDescent="0.15">
      <c r="A558" s="70">
        <v>540</v>
      </c>
      <c r="B558" s="80">
        <f t="shared" si="6"/>
        <v>-2242.8979664037811</v>
      </c>
      <c r="C558" s="76">
        <f t="shared" si="5"/>
        <v>11208.107966403781</v>
      </c>
      <c r="D558" s="76">
        <f t="shared" si="7"/>
        <v>-1805526.4810894285</v>
      </c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4.25" customHeight="1" x14ac:dyDescent="0.15">
      <c r="A559" s="70">
        <v>541</v>
      </c>
      <c r="B559" s="80">
        <f t="shared" si="6"/>
        <v>-2256.9081013617861</v>
      </c>
      <c r="C559" s="76">
        <f t="shared" si="5"/>
        <v>11222.118101361786</v>
      </c>
      <c r="D559" s="76">
        <f t="shared" si="7"/>
        <v>-1816748.5991907902</v>
      </c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4.25" customHeight="1" x14ac:dyDescent="0.15">
      <c r="A560" s="70">
        <v>542</v>
      </c>
      <c r="B560" s="80">
        <f t="shared" si="6"/>
        <v>-2270.9357489884878</v>
      </c>
      <c r="C560" s="76">
        <f t="shared" si="5"/>
        <v>11236.145748988487</v>
      </c>
      <c r="D560" s="76">
        <f t="shared" si="7"/>
        <v>-1827984.7449397787</v>
      </c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4.25" customHeight="1" x14ac:dyDescent="0.15">
      <c r="A561" s="70">
        <v>543</v>
      </c>
      <c r="B561" s="80">
        <f t="shared" si="6"/>
        <v>-2284.9809311747235</v>
      </c>
      <c r="C561" s="76">
        <f t="shared" si="5"/>
        <v>11250.190931174722</v>
      </c>
      <c r="D561" s="76">
        <f t="shared" si="7"/>
        <v>-1839234.9358709534</v>
      </c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4.25" customHeight="1" x14ac:dyDescent="0.15">
      <c r="A562" s="70">
        <v>544</v>
      </c>
      <c r="B562" s="80">
        <f t="shared" si="6"/>
        <v>-2299.0436698386916</v>
      </c>
      <c r="C562" s="76">
        <f t="shared" si="5"/>
        <v>11264.25366983869</v>
      </c>
      <c r="D562" s="76">
        <f t="shared" si="7"/>
        <v>-1850499.189540792</v>
      </c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4.25" customHeight="1" x14ac:dyDescent="0.15">
      <c r="A563" s="70">
        <v>545</v>
      </c>
      <c r="B563" s="80">
        <f t="shared" si="6"/>
        <v>-2313.1239869259903</v>
      </c>
      <c r="C563" s="76">
        <f t="shared" si="5"/>
        <v>11278.333986925989</v>
      </c>
      <c r="D563" s="76">
        <f t="shared" si="7"/>
        <v>-1861777.5235277179</v>
      </c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4.25" customHeight="1" x14ac:dyDescent="0.15">
      <c r="A564" s="70">
        <v>546</v>
      </c>
      <c r="B564" s="80">
        <f t="shared" si="6"/>
        <v>-2327.2219044096473</v>
      </c>
      <c r="C564" s="76">
        <f t="shared" si="5"/>
        <v>11292.431904409646</v>
      </c>
      <c r="D564" s="76">
        <f t="shared" si="7"/>
        <v>-1873069.9554321275</v>
      </c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4.25" customHeight="1" x14ac:dyDescent="0.15">
      <c r="A565" s="70">
        <v>547</v>
      </c>
      <c r="B565" s="80">
        <f t="shared" si="6"/>
        <v>-2341.3374442901595</v>
      </c>
      <c r="C565" s="76">
        <f t="shared" si="5"/>
        <v>11306.547444290158</v>
      </c>
      <c r="D565" s="76">
        <f t="shared" si="7"/>
        <v>-1884376.5028764177</v>
      </c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4.25" customHeight="1" x14ac:dyDescent="0.15">
      <c r="A566" s="70">
        <v>548</v>
      </c>
      <c r="B566" s="80">
        <f t="shared" si="6"/>
        <v>-2355.4706285955222</v>
      </c>
      <c r="C566" s="76">
        <f t="shared" si="5"/>
        <v>11320.680628595521</v>
      </c>
      <c r="D566" s="76">
        <f t="shared" si="7"/>
        <v>-1895697.1835050131</v>
      </c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4.25" customHeight="1" x14ac:dyDescent="0.15">
      <c r="A567" s="70">
        <v>549</v>
      </c>
      <c r="B567" s="80">
        <f t="shared" si="6"/>
        <v>-2369.6214793812665</v>
      </c>
      <c r="C567" s="76">
        <f t="shared" si="5"/>
        <v>11334.831479381266</v>
      </c>
      <c r="D567" s="76">
        <f t="shared" si="7"/>
        <v>-1907032.0149843944</v>
      </c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4.25" customHeight="1" x14ac:dyDescent="0.15">
      <c r="A568" s="70">
        <v>550</v>
      </c>
      <c r="B568" s="80">
        <f t="shared" si="6"/>
        <v>-2383.7900187304931</v>
      </c>
      <c r="C568" s="76">
        <f t="shared" si="5"/>
        <v>11349.000018730492</v>
      </c>
      <c r="D568" s="76">
        <f t="shared" si="7"/>
        <v>-1918381.015003125</v>
      </c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4.25" customHeight="1" x14ac:dyDescent="0.15">
      <c r="A569" s="70">
        <v>551</v>
      </c>
      <c r="B569" s="80">
        <f t="shared" si="6"/>
        <v>-2397.9762687539064</v>
      </c>
      <c r="C569" s="76">
        <f t="shared" si="5"/>
        <v>11363.186268753905</v>
      </c>
      <c r="D569" s="76">
        <f t="shared" si="7"/>
        <v>-1929744.2012718788</v>
      </c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4.25" customHeight="1" x14ac:dyDescent="0.15">
      <c r="A570" s="70">
        <v>552</v>
      </c>
      <c r="B570" s="80">
        <f t="shared" si="6"/>
        <v>-2412.1802515898485</v>
      </c>
      <c r="C570" s="76">
        <f t="shared" si="5"/>
        <v>11377.390251589848</v>
      </c>
      <c r="D570" s="76">
        <f t="shared" si="7"/>
        <v>-1941121.5915234687</v>
      </c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4.25" customHeight="1" x14ac:dyDescent="0.15">
      <c r="A571" s="70">
        <v>553</v>
      </c>
      <c r="B571" s="80">
        <f t="shared" si="6"/>
        <v>-2426.4019894043358</v>
      </c>
      <c r="C571" s="76">
        <f t="shared" si="5"/>
        <v>11391.611989404335</v>
      </c>
      <c r="D571" s="76">
        <f t="shared" si="7"/>
        <v>-1952513.203512873</v>
      </c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4.25" customHeight="1" x14ac:dyDescent="0.15">
      <c r="A572" s="70">
        <v>554</v>
      </c>
      <c r="B572" s="80">
        <f t="shared" si="6"/>
        <v>-2440.6415043910915</v>
      </c>
      <c r="C572" s="76">
        <f t="shared" si="5"/>
        <v>11405.85150439109</v>
      </c>
      <c r="D572" s="76">
        <f t="shared" si="7"/>
        <v>-1963919.0550172641</v>
      </c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4.25" customHeight="1" x14ac:dyDescent="0.15">
      <c r="A573" s="70">
        <v>555</v>
      </c>
      <c r="B573" s="80">
        <f t="shared" si="6"/>
        <v>-2454.89881877158</v>
      </c>
      <c r="C573" s="76">
        <f t="shared" si="5"/>
        <v>11420.10881877158</v>
      </c>
      <c r="D573" s="76">
        <f t="shared" si="7"/>
        <v>-1975339.1638360356</v>
      </c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4.25" customHeight="1" x14ac:dyDescent="0.15">
      <c r="A574" s="70">
        <v>556</v>
      </c>
      <c r="B574" s="80">
        <f t="shared" si="6"/>
        <v>-2469.1739547950447</v>
      </c>
      <c r="C574" s="76">
        <f t="shared" si="5"/>
        <v>11434.383954795045</v>
      </c>
      <c r="D574" s="76">
        <f t="shared" si="7"/>
        <v>-1986773.5477908307</v>
      </c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4.25" customHeight="1" x14ac:dyDescent="0.15">
      <c r="A575" s="70">
        <v>557</v>
      </c>
      <c r="B575" s="80">
        <f t="shared" si="6"/>
        <v>-2483.4669347385384</v>
      </c>
      <c r="C575" s="76">
        <f t="shared" si="5"/>
        <v>11448.676934738538</v>
      </c>
      <c r="D575" s="76">
        <f t="shared" si="7"/>
        <v>-1998222.2247255694</v>
      </c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4.25" customHeight="1" x14ac:dyDescent="0.15">
      <c r="A576" s="70">
        <v>558</v>
      </c>
      <c r="B576" s="80">
        <f t="shared" si="6"/>
        <v>-2497.7777809069621</v>
      </c>
      <c r="C576" s="76">
        <f t="shared" si="5"/>
        <v>11462.987780906962</v>
      </c>
      <c r="D576" s="76">
        <f t="shared" si="7"/>
        <v>-2009685.2125064763</v>
      </c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4.25" customHeight="1" x14ac:dyDescent="0.15">
      <c r="A577" s="70">
        <v>559</v>
      </c>
      <c r="B577" s="80">
        <f t="shared" si="6"/>
        <v>-2512.1065156330956</v>
      </c>
      <c r="C577" s="76">
        <f t="shared" si="5"/>
        <v>11477.316515633094</v>
      </c>
      <c r="D577" s="76">
        <f t="shared" si="7"/>
        <v>-2021162.5290221095</v>
      </c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4.25" customHeight="1" x14ac:dyDescent="0.15">
      <c r="A578" s="70">
        <v>560</v>
      </c>
      <c r="B578" s="80">
        <f t="shared" si="6"/>
        <v>-2526.4531612776368</v>
      </c>
      <c r="C578" s="76">
        <f t="shared" si="5"/>
        <v>11491.663161277636</v>
      </c>
      <c r="D578" s="76">
        <f t="shared" si="7"/>
        <v>-2032654.192183387</v>
      </c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4.25" customHeight="1" x14ac:dyDescent="0.15">
      <c r="A579" s="70">
        <v>561</v>
      </c>
      <c r="B579" s="80">
        <f t="shared" si="6"/>
        <v>-2540.817740229234</v>
      </c>
      <c r="C579" s="76">
        <f t="shared" si="5"/>
        <v>11506.027740229234</v>
      </c>
      <c r="D579" s="76">
        <f t="shared" si="7"/>
        <v>-2044160.2199236162</v>
      </c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4.25" customHeight="1" x14ac:dyDescent="0.15">
      <c r="A580" s="70">
        <v>562</v>
      </c>
      <c r="B580" s="80">
        <f t="shared" si="6"/>
        <v>-2555.2002749045205</v>
      </c>
      <c r="C580" s="76">
        <f t="shared" si="5"/>
        <v>11520.41027490452</v>
      </c>
      <c r="D580" s="76">
        <f t="shared" si="7"/>
        <v>-2055680.6301985206</v>
      </c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4.25" customHeight="1" x14ac:dyDescent="0.15">
      <c r="A581" s="70">
        <v>563</v>
      </c>
      <c r="B581" s="80">
        <f t="shared" si="6"/>
        <v>-2569.6007877481507</v>
      </c>
      <c r="C581" s="76">
        <f t="shared" si="5"/>
        <v>11534.810787748149</v>
      </c>
      <c r="D581" s="76">
        <f t="shared" si="7"/>
        <v>-2067215.4409862687</v>
      </c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4.25" customHeight="1" x14ac:dyDescent="0.15">
      <c r="A582" s="70">
        <v>564</v>
      </c>
      <c r="B582" s="80">
        <f t="shared" si="6"/>
        <v>-2584.0193012328359</v>
      </c>
      <c r="C582" s="76">
        <f t="shared" si="5"/>
        <v>11549.229301232835</v>
      </c>
      <c r="D582" s="76">
        <f t="shared" si="7"/>
        <v>-2078764.6702875015</v>
      </c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4.25" customHeight="1" x14ac:dyDescent="0.15">
      <c r="A583" s="70">
        <v>565</v>
      </c>
      <c r="B583" s="80">
        <f t="shared" si="6"/>
        <v>-2598.455837859377</v>
      </c>
      <c r="C583" s="76">
        <f t="shared" si="5"/>
        <v>11563.665837859377</v>
      </c>
      <c r="D583" s="76">
        <f t="shared" si="7"/>
        <v>-2090328.3361253608</v>
      </c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4.25" customHeight="1" x14ac:dyDescent="0.15">
      <c r="A584" s="70">
        <v>566</v>
      </c>
      <c r="B584" s="80">
        <f t="shared" si="6"/>
        <v>-2612.9104201567015</v>
      </c>
      <c r="C584" s="76">
        <f t="shared" si="5"/>
        <v>11578.120420156702</v>
      </c>
      <c r="D584" s="76">
        <f t="shared" si="7"/>
        <v>-2101906.4565455173</v>
      </c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4.25" customHeight="1" x14ac:dyDescent="0.15">
      <c r="A585" s="70">
        <v>567</v>
      </c>
      <c r="B585" s="80">
        <f t="shared" si="6"/>
        <v>-2627.3830706818967</v>
      </c>
      <c r="C585" s="76">
        <f t="shared" si="5"/>
        <v>11592.593070681896</v>
      </c>
      <c r="D585" s="76">
        <f t="shared" si="7"/>
        <v>-2113499.049616199</v>
      </c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4.25" customHeight="1" x14ac:dyDescent="0.15">
      <c r="A586" s="70">
        <v>568</v>
      </c>
      <c r="B586" s="80">
        <f t="shared" si="6"/>
        <v>-2641.8738120202488</v>
      </c>
      <c r="C586" s="76">
        <f t="shared" si="5"/>
        <v>11607.083812020248</v>
      </c>
      <c r="D586" s="76">
        <f t="shared" si="7"/>
        <v>-2125106.1334282192</v>
      </c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4.25" customHeight="1" x14ac:dyDescent="0.15">
      <c r="A587" s="70">
        <v>569</v>
      </c>
      <c r="B587" s="80">
        <f t="shared" si="6"/>
        <v>-2656.3826667852741</v>
      </c>
      <c r="C587" s="76">
        <f t="shared" si="5"/>
        <v>11621.592666785273</v>
      </c>
      <c r="D587" s="76">
        <f t="shared" si="7"/>
        <v>-2136727.7260950045</v>
      </c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4.25" customHeight="1" x14ac:dyDescent="0.15">
      <c r="A588" s="70">
        <v>570</v>
      </c>
      <c r="B588" s="80">
        <f t="shared" si="6"/>
        <v>-2670.9096576187558</v>
      </c>
      <c r="C588" s="76">
        <f t="shared" si="5"/>
        <v>11636.119657618754</v>
      </c>
      <c r="D588" s="76">
        <f t="shared" si="7"/>
        <v>-2148363.8457526234</v>
      </c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4.25" customHeight="1" x14ac:dyDescent="0.15">
      <c r="A589" s="70">
        <v>571</v>
      </c>
      <c r="B589" s="80">
        <f t="shared" si="6"/>
        <v>-2685.4548071907793</v>
      </c>
      <c r="C589" s="76">
        <f t="shared" si="5"/>
        <v>11650.664807190778</v>
      </c>
      <c r="D589" s="76">
        <f t="shared" si="7"/>
        <v>-2160014.5105598141</v>
      </c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4.25" customHeight="1" x14ac:dyDescent="0.15">
      <c r="A590" s="70">
        <v>572</v>
      </c>
      <c r="B590" s="80">
        <f t="shared" si="6"/>
        <v>-2700.0181381997677</v>
      </c>
      <c r="C590" s="76">
        <f t="shared" si="5"/>
        <v>11665.228138199767</v>
      </c>
      <c r="D590" s="76">
        <f t="shared" si="7"/>
        <v>-2171679.7386980136</v>
      </c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4.25" customHeight="1" x14ac:dyDescent="0.15">
      <c r="A591" s="70">
        <v>573</v>
      </c>
      <c r="B591" s="80">
        <f t="shared" si="6"/>
        <v>-2714.5996733725169</v>
      </c>
      <c r="C591" s="76">
        <f t="shared" si="5"/>
        <v>11679.809673372516</v>
      </c>
      <c r="D591" s="76">
        <f t="shared" si="7"/>
        <v>-2183359.5483713862</v>
      </c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4.25" customHeight="1" x14ac:dyDescent="0.15">
      <c r="A592" s="70">
        <v>574</v>
      </c>
      <c r="B592" s="80">
        <f t="shared" si="6"/>
        <v>-2729.1994354642329</v>
      </c>
      <c r="C592" s="76">
        <f t="shared" si="5"/>
        <v>11694.409435464233</v>
      </c>
      <c r="D592" s="76">
        <f t="shared" si="7"/>
        <v>-2195053.9578068503</v>
      </c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4.25" customHeight="1" x14ac:dyDescent="0.15">
      <c r="A593" s="70">
        <v>575</v>
      </c>
      <c r="B593" s="80">
        <f t="shared" si="6"/>
        <v>-2743.8174472585629</v>
      </c>
      <c r="C593" s="76">
        <f t="shared" si="5"/>
        <v>11709.027447258562</v>
      </c>
      <c r="D593" s="76">
        <f t="shared" si="7"/>
        <v>-2206762.9852541089</v>
      </c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4.25" customHeight="1" x14ac:dyDescent="0.15">
      <c r="A594" s="70">
        <v>576</v>
      </c>
      <c r="B594" s="80">
        <f t="shared" si="6"/>
        <v>-2758.4537315676362</v>
      </c>
      <c r="C594" s="76">
        <f t="shared" si="5"/>
        <v>11723.663731567634</v>
      </c>
      <c r="D594" s="76">
        <f t="shared" si="7"/>
        <v>-2218486.6489856765</v>
      </c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4.25" customHeight="1" x14ac:dyDescent="0.15">
      <c r="A595" s="70">
        <v>577</v>
      </c>
      <c r="B595" s="80">
        <f t="shared" si="6"/>
        <v>-2773.1083112320953</v>
      </c>
      <c r="C595" s="76">
        <f t="shared" si="5"/>
        <v>11738.318311232095</v>
      </c>
      <c r="D595" s="76">
        <f t="shared" si="7"/>
        <v>-2230224.9672969086</v>
      </c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4.25" customHeight="1" x14ac:dyDescent="0.15">
      <c r="A596" s="70">
        <v>578</v>
      </c>
      <c r="B596" s="80">
        <f t="shared" si="6"/>
        <v>-2787.7812091211358</v>
      </c>
      <c r="C596" s="76">
        <f t="shared" si="5"/>
        <v>11752.991209121135</v>
      </c>
      <c r="D596" s="76">
        <f t="shared" si="7"/>
        <v>-2241977.9585060296</v>
      </c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4.25" customHeight="1" x14ac:dyDescent="0.15">
      <c r="A597" s="70">
        <v>579</v>
      </c>
      <c r="B597" s="80">
        <f t="shared" si="6"/>
        <v>-2802.472448132537</v>
      </c>
      <c r="C597" s="76">
        <f t="shared" si="5"/>
        <v>11767.682448132537</v>
      </c>
      <c r="D597" s="76">
        <f t="shared" si="7"/>
        <v>-2253745.640954162</v>
      </c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4.25" customHeight="1" x14ac:dyDescent="0.15">
      <c r="A598" s="70">
        <v>580</v>
      </c>
      <c r="B598" s="80">
        <f t="shared" si="6"/>
        <v>-2817.1820511927026</v>
      </c>
      <c r="C598" s="76">
        <f t="shared" si="5"/>
        <v>11782.392051192703</v>
      </c>
      <c r="D598" s="76">
        <f t="shared" si="7"/>
        <v>-2265528.0330053549</v>
      </c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4.25" customHeight="1" x14ac:dyDescent="0.15">
      <c r="A599" s="70">
        <v>581</v>
      </c>
      <c r="B599" s="80">
        <f t="shared" si="6"/>
        <v>-2831.9100412566936</v>
      </c>
      <c r="C599" s="76">
        <f t="shared" si="5"/>
        <v>11797.120041256692</v>
      </c>
      <c r="D599" s="76">
        <f t="shared" si="7"/>
        <v>-2277325.1530466117</v>
      </c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4.25" customHeight="1" x14ac:dyDescent="0.15">
      <c r="A600" s="70">
        <v>582</v>
      </c>
      <c r="B600" s="80">
        <f t="shared" si="6"/>
        <v>-2846.6564413082647</v>
      </c>
      <c r="C600" s="76">
        <f t="shared" si="5"/>
        <v>11811.866441308264</v>
      </c>
      <c r="D600" s="76">
        <f t="shared" si="7"/>
        <v>-2289137.0194879198</v>
      </c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4.25" customHeight="1" x14ac:dyDescent="0.15">
      <c r="A601" s="70">
        <v>583</v>
      </c>
      <c r="B601" s="80">
        <f t="shared" si="6"/>
        <v>-2861.4212743599001</v>
      </c>
      <c r="C601" s="76">
        <f t="shared" si="5"/>
        <v>11826.631274359899</v>
      </c>
      <c r="D601" s="76">
        <f t="shared" si="7"/>
        <v>-2300963.6507622795</v>
      </c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4.25" customHeight="1" x14ac:dyDescent="0.15">
      <c r="A602" s="70">
        <v>584</v>
      </c>
      <c r="B602" s="80">
        <f t="shared" si="6"/>
        <v>-2876.2045634528495</v>
      </c>
      <c r="C602" s="76">
        <f t="shared" si="5"/>
        <v>11841.414563452849</v>
      </c>
      <c r="D602" s="76">
        <f t="shared" si="7"/>
        <v>-2312805.0653257323</v>
      </c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4.25" customHeight="1" x14ac:dyDescent="0.15">
      <c r="A603" s="70">
        <v>585</v>
      </c>
      <c r="B603" s="80">
        <f t="shared" si="6"/>
        <v>-2891.0063316571654</v>
      </c>
      <c r="C603" s="76">
        <f t="shared" si="5"/>
        <v>11856.216331657164</v>
      </c>
      <c r="D603" s="76">
        <f t="shared" si="7"/>
        <v>-2324661.2816573894</v>
      </c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4.25" customHeight="1" x14ac:dyDescent="0.15">
      <c r="A604" s="70">
        <v>586</v>
      </c>
      <c r="B604" s="80">
        <f t="shared" si="6"/>
        <v>-2905.8266020717369</v>
      </c>
      <c r="C604" s="76">
        <f t="shared" si="5"/>
        <v>11871.036602071736</v>
      </c>
      <c r="D604" s="76">
        <f t="shared" si="7"/>
        <v>-2336532.3182594613</v>
      </c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4.25" customHeight="1" x14ac:dyDescent="0.15">
      <c r="A605" s="70">
        <v>587</v>
      </c>
      <c r="B605" s="80">
        <f t="shared" si="6"/>
        <v>-2920.6653978243266</v>
      </c>
      <c r="C605" s="76">
        <f t="shared" si="5"/>
        <v>11885.875397824326</v>
      </c>
      <c r="D605" s="76">
        <f t="shared" si="7"/>
        <v>-2348418.1936572855</v>
      </c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4.25" customHeight="1" x14ac:dyDescent="0.15">
      <c r="A606" s="70">
        <v>588</v>
      </c>
      <c r="B606" s="80">
        <f t="shared" si="6"/>
        <v>-2935.5227420716069</v>
      </c>
      <c r="C606" s="76">
        <f t="shared" si="5"/>
        <v>11900.732742071606</v>
      </c>
      <c r="D606" s="76">
        <f t="shared" si="7"/>
        <v>-2360318.9263993572</v>
      </c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4.25" customHeight="1" x14ac:dyDescent="0.15">
      <c r="A607" s="70">
        <v>589</v>
      </c>
      <c r="B607" s="80">
        <f t="shared" si="6"/>
        <v>-2950.398657999197</v>
      </c>
      <c r="C607" s="76">
        <f t="shared" si="5"/>
        <v>11915.608657999197</v>
      </c>
      <c r="D607" s="76">
        <f t="shared" si="7"/>
        <v>-2372234.5350573566</v>
      </c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4.25" customHeight="1" x14ac:dyDescent="0.15">
      <c r="A608" s="70">
        <v>590</v>
      </c>
      <c r="B608" s="80">
        <f t="shared" si="6"/>
        <v>-2965.2931688216954</v>
      </c>
      <c r="C608" s="76">
        <f t="shared" si="5"/>
        <v>11930.503168821695</v>
      </c>
      <c r="D608" s="76">
        <f t="shared" si="7"/>
        <v>-2384165.0382261784</v>
      </c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4.25" customHeight="1" x14ac:dyDescent="0.15">
      <c r="A609" s="70">
        <v>591</v>
      </c>
      <c r="B609" s="80">
        <f t="shared" si="6"/>
        <v>-2980.2062977827231</v>
      </c>
      <c r="C609" s="76">
        <f t="shared" si="5"/>
        <v>11945.416297782722</v>
      </c>
      <c r="D609" s="76">
        <f t="shared" si="7"/>
        <v>-2396110.4545239611</v>
      </c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4.25" customHeight="1" x14ac:dyDescent="0.15">
      <c r="A610" s="70">
        <v>592</v>
      </c>
      <c r="B610" s="80">
        <f t="shared" si="6"/>
        <v>-2995.1380681549513</v>
      </c>
      <c r="C610" s="76">
        <f t="shared" si="5"/>
        <v>11960.34806815495</v>
      </c>
      <c r="D610" s="76">
        <f t="shared" si="7"/>
        <v>-2408070.8025921159</v>
      </c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4.25" customHeight="1" x14ac:dyDescent="0.15">
      <c r="A611" s="70">
        <v>593</v>
      </c>
      <c r="B611" s="80">
        <f t="shared" si="6"/>
        <v>-3010.0885032401447</v>
      </c>
      <c r="C611" s="76">
        <f t="shared" si="5"/>
        <v>11975.298503240145</v>
      </c>
      <c r="D611" s="76">
        <f t="shared" si="7"/>
        <v>-2420046.101095356</v>
      </c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4.25" customHeight="1" x14ac:dyDescent="0.15">
      <c r="A612" s="70">
        <v>594</v>
      </c>
      <c r="B612" s="80">
        <f t="shared" si="6"/>
        <v>-3025.0576263691951</v>
      </c>
      <c r="C612" s="76">
        <f t="shared" si="5"/>
        <v>11990.267626369194</v>
      </c>
      <c r="D612" s="76">
        <f t="shared" si="7"/>
        <v>-2432036.3687217254</v>
      </c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4.25" customHeight="1" x14ac:dyDescent="0.15">
      <c r="A613" s="70">
        <v>595</v>
      </c>
      <c r="B613" s="80">
        <f t="shared" si="6"/>
        <v>-3040.0454609021567</v>
      </c>
      <c r="C613" s="76">
        <f t="shared" si="5"/>
        <v>12005.255460902155</v>
      </c>
      <c r="D613" s="76">
        <f t="shared" si="7"/>
        <v>-2444041.6241826275</v>
      </c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4.25" customHeight="1" x14ac:dyDescent="0.15">
      <c r="A614" s="70">
        <v>596</v>
      </c>
      <c r="B614" s="80">
        <f t="shared" si="6"/>
        <v>-3055.0520302282844</v>
      </c>
      <c r="C614" s="76">
        <f t="shared" si="5"/>
        <v>12020.262030228283</v>
      </c>
      <c r="D614" s="76">
        <f t="shared" si="7"/>
        <v>-2456061.886212856</v>
      </c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4.25" customHeight="1" x14ac:dyDescent="0.15">
      <c r="A615" s="70">
        <v>597</v>
      </c>
      <c r="B615" s="80">
        <f t="shared" si="6"/>
        <v>-3070.0773577660702</v>
      </c>
      <c r="C615" s="76">
        <f t="shared" si="5"/>
        <v>12035.287357766068</v>
      </c>
      <c r="D615" s="76">
        <f t="shared" si="7"/>
        <v>-2468097.1735706222</v>
      </c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4.25" customHeight="1" x14ac:dyDescent="0.15">
      <c r="A616" s="70">
        <v>598</v>
      </c>
      <c r="B616" s="80">
        <f t="shared" si="6"/>
        <v>-3085.1214669632777</v>
      </c>
      <c r="C616" s="76">
        <f t="shared" si="5"/>
        <v>12050.331466963276</v>
      </c>
      <c r="D616" s="76">
        <f t="shared" si="7"/>
        <v>-2480147.5050375853</v>
      </c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4.25" customHeight="1" x14ac:dyDescent="0.15">
      <c r="A617" s="70">
        <v>599</v>
      </c>
      <c r="B617" s="80">
        <f t="shared" si="6"/>
        <v>-3100.1843812969819</v>
      </c>
      <c r="C617" s="76">
        <f t="shared" si="5"/>
        <v>12065.394381296981</v>
      </c>
      <c r="D617" s="76">
        <f t="shared" si="7"/>
        <v>-2492212.8994188821</v>
      </c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4.25" customHeight="1" x14ac:dyDescent="0.15">
      <c r="A618" s="70">
        <v>600</v>
      </c>
      <c r="B618" s="80">
        <f t="shared" si="6"/>
        <v>-3115.2661242736026</v>
      </c>
      <c r="C618" s="76">
        <f t="shared" si="5"/>
        <v>12080.476124273602</v>
      </c>
      <c r="D618" s="76">
        <f t="shared" si="7"/>
        <v>-2504293.3755431557</v>
      </c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4.25" customHeight="1" x14ac:dyDescent="0.15">
      <c r="A619" s="70">
        <v>601</v>
      </c>
      <c r="B619" s="80">
        <f t="shared" si="6"/>
        <v>-3130.3667194289446</v>
      </c>
      <c r="C619" s="76">
        <f t="shared" si="5"/>
        <v>12095.576719428944</v>
      </c>
      <c r="D619" s="76">
        <f t="shared" si="7"/>
        <v>-2516388.9522625846</v>
      </c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4.25" customHeight="1" x14ac:dyDescent="0.15">
      <c r="A620" s="70">
        <v>602</v>
      </c>
      <c r="B620" s="80">
        <f t="shared" si="6"/>
        <v>-3145.4861903282308</v>
      </c>
      <c r="C620" s="76">
        <f t="shared" si="5"/>
        <v>12110.69619032823</v>
      </c>
      <c r="D620" s="76">
        <f t="shared" si="7"/>
        <v>-2528499.6484529129</v>
      </c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4.25" customHeight="1" x14ac:dyDescent="0.15">
      <c r="A621" s="70">
        <v>603</v>
      </c>
      <c r="B621" s="80">
        <f t="shared" si="6"/>
        <v>-3160.6245605661411</v>
      </c>
      <c r="C621" s="76">
        <f t="shared" si="5"/>
        <v>12125.83456056614</v>
      </c>
      <c r="D621" s="76">
        <f t="shared" si="7"/>
        <v>-2540625.483013479</v>
      </c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4.25" customHeight="1" x14ac:dyDescent="0.15">
      <c r="A622" s="70">
        <v>604</v>
      </c>
      <c r="B622" s="80">
        <f t="shared" si="6"/>
        <v>-3175.7818537668491</v>
      </c>
      <c r="C622" s="76">
        <f t="shared" si="5"/>
        <v>12140.991853766849</v>
      </c>
      <c r="D622" s="76">
        <f t="shared" si="7"/>
        <v>-2552766.4748672461</v>
      </c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4.25" customHeight="1" x14ac:dyDescent="0.15">
      <c r="A623" s="70">
        <v>605</v>
      </c>
      <c r="B623" s="80">
        <f t="shared" si="6"/>
        <v>-3190.9580935840577</v>
      </c>
      <c r="C623" s="76">
        <f t="shared" si="5"/>
        <v>12156.168093584056</v>
      </c>
      <c r="D623" s="76">
        <f t="shared" si="7"/>
        <v>-2564922.6429608301</v>
      </c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4.25" customHeight="1" x14ac:dyDescent="0.15">
      <c r="A624" s="70">
        <v>606</v>
      </c>
      <c r="B624" s="80">
        <f t="shared" si="6"/>
        <v>-3206.1533037010377</v>
      </c>
      <c r="C624" s="76">
        <f t="shared" si="5"/>
        <v>12171.363303701037</v>
      </c>
      <c r="D624" s="76">
        <f t="shared" si="7"/>
        <v>-2577094.0062645311</v>
      </c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4.25" customHeight="1" x14ac:dyDescent="0.15">
      <c r="A625" s="70">
        <v>607</v>
      </c>
      <c r="B625" s="80">
        <f t="shared" si="6"/>
        <v>-3221.3675078306642</v>
      </c>
      <c r="C625" s="76">
        <f t="shared" si="5"/>
        <v>12186.577507830663</v>
      </c>
      <c r="D625" s="76">
        <f t="shared" si="7"/>
        <v>-2589280.5837723617</v>
      </c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4.25" customHeight="1" x14ac:dyDescent="0.15">
      <c r="A626" s="70">
        <v>608</v>
      </c>
      <c r="B626" s="80">
        <f t="shared" si="6"/>
        <v>-3236.6007297154524</v>
      </c>
      <c r="C626" s="76">
        <f t="shared" si="5"/>
        <v>12201.810729715451</v>
      </c>
      <c r="D626" s="76">
        <f t="shared" si="7"/>
        <v>-2601482.3945020773</v>
      </c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4.25" customHeight="1" x14ac:dyDescent="0.15">
      <c r="A627" s="70">
        <v>609</v>
      </c>
      <c r="B627" s="80">
        <f t="shared" si="6"/>
        <v>-3251.8529931275966</v>
      </c>
      <c r="C627" s="76">
        <f t="shared" si="5"/>
        <v>12217.062993127596</v>
      </c>
      <c r="D627" s="76">
        <f t="shared" si="7"/>
        <v>-2613699.4574952046</v>
      </c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4.25" customHeight="1" x14ac:dyDescent="0.15">
      <c r="A628" s="70">
        <v>610</v>
      </c>
      <c r="B628" s="80">
        <f t="shared" si="6"/>
        <v>-3267.1243218690061</v>
      </c>
      <c r="C628" s="76">
        <f t="shared" si="5"/>
        <v>12232.334321869006</v>
      </c>
      <c r="D628" s="76">
        <f t="shared" si="7"/>
        <v>-2625931.7918170737</v>
      </c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4.25" customHeight="1" x14ac:dyDescent="0.15">
      <c r="A629" s="70">
        <v>611</v>
      </c>
      <c r="B629" s="80">
        <f t="shared" si="6"/>
        <v>-3282.4147397713418</v>
      </c>
      <c r="C629" s="76">
        <f t="shared" si="5"/>
        <v>12247.624739771341</v>
      </c>
      <c r="D629" s="76">
        <f t="shared" si="7"/>
        <v>-2638179.416556845</v>
      </c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4.25" customHeight="1" x14ac:dyDescent="0.15">
      <c r="A630" s="70">
        <v>612</v>
      </c>
      <c r="B630" s="80">
        <f t="shared" si="6"/>
        <v>-3297.724270696056</v>
      </c>
      <c r="C630" s="76">
        <f t="shared" si="5"/>
        <v>12262.934270696056</v>
      </c>
      <c r="D630" s="76">
        <f t="shared" si="7"/>
        <v>-2650442.3508275412</v>
      </c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4.25" customHeight="1" x14ac:dyDescent="0.15">
      <c r="A631" s="70">
        <v>613</v>
      </c>
      <c r="B631" s="80">
        <f t="shared" si="6"/>
        <v>-3313.0529385344266</v>
      </c>
      <c r="C631" s="76">
        <f t="shared" si="5"/>
        <v>12278.262938534426</v>
      </c>
      <c r="D631" s="76">
        <f t="shared" si="7"/>
        <v>-2662720.6137660756</v>
      </c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4.25" customHeight="1" x14ac:dyDescent="0.15">
      <c r="A632" s="70">
        <v>614</v>
      </c>
      <c r="B632" s="80">
        <f t="shared" si="6"/>
        <v>-3328.4007672075945</v>
      </c>
      <c r="C632" s="76">
        <f t="shared" si="5"/>
        <v>12293.610767207594</v>
      </c>
      <c r="D632" s="76">
        <f t="shared" si="7"/>
        <v>-2675014.2245332832</v>
      </c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4.25" customHeight="1" x14ac:dyDescent="0.15">
      <c r="A633" s="70">
        <v>615</v>
      </c>
      <c r="B633" s="80">
        <f t="shared" si="6"/>
        <v>-3343.7677806666038</v>
      </c>
      <c r="C633" s="76">
        <f t="shared" ref="C633:C798" si="8">$C$12-B633</f>
        <v>12308.977780666602</v>
      </c>
      <c r="D633" s="76">
        <f t="shared" si="7"/>
        <v>-2687323.2023139498</v>
      </c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4.25" customHeight="1" x14ac:dyDescent="0.15">
      <c r="A634" s="70">
        <v>616</v>
      </c>
      <c r="B634" s="80">
        <f t="shared" si="6"/>
        <v>-3359.1540028924373</v>
      </c>
      <c r="C634" s="76">
        <f t="shared" si="8"/>
        <v>12324.364002892436</v>
      </c>
      <c r="D634" s="76">
        <f t="shared" si="7"/>
        <v>-2699647.5663168421</v>
      </c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4.25" customHeight="1" x14ac:dyDescent="0.15">
      <c r="A635" s="70">
        <v>617</v>
      </c>
      <c r="B635" s="80">
        <f t="shared" si="6"/>
        <v>-3374.5594578960527</v>
      </c>
      <c r="C635" s="76">
        <f t="shared" si="8"/>
        <v>12339.769457896051</v>
      </c>
      <c r="D635" s="76">
        <f t="shared" si="7"/>
        <v>-2711987.3357747383</v>
      </c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4.25" customHeight="1" x14ac:dyDescent="0.15">
      <c r="A636" s="70">
        <v>618</v>
      </c>
      <c r="B636" s="80">
        <f t="shared" si="6"/>
        <v>-3389.9841697184233</v>
      </c>
      <c r="C636" s="76">
        <f t="shared" si="8"/>
        <v>12355.194169718423</v>
      </c>
      <c r="D636" s="76">
        <f t="shared" si="7"/>
        <v>-2724342.5299444566</v>
      </c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4.25" customHeight="1" x14ac:dyDescent="0.15">
      <c r="A637" s="70">
        <v>619</v>
      </c>
      <c r="B637" s="80">
        <f t="shared" si="6"/>
        <v>-3405.4281624305709</v>
      </c>
      <c r="C637" s="76">
        <f t="shared" si="8"/>
        <v>12370.63816243057</v>
      </c>
      <c r="D637" s="76">
        <f t="shared" si="7"/>
        <v>-2736713.168106887</v>
      </c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4.25" customHeight="1" x14ac:dyDescent="0.15">
      <c r="A638" s="70">
        <v>620</v>
      </c>
      <c r="B638" s="80">
        <f t="shared" si="6"/>
        <v>-3420.8914601336091</v>
      </c>
      <c r="C638" s="76">
        <f t="shared" si="8"/>
        <v>12386.101460133608</v>
      </c>
      <c r="D638" s="76">
        <f t="shared" si="7"/>
        <v>-2749099.2695670207</v>
      </c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4.25" customHeight="1" x14ac:dyDescent="0.15">
      <c r="A639" s="70">
        <v>621</v>
      </c>
      <c r="B639" s="80">
        <f t="shared" si="6"/>
        <v>-3436.3740869587759</v>
      </c>
      <c r="C639" s="76">
        <f t="shared" si="8"/>
        <v>12401.584086958776</v>
      </c>
      <c r="D639" s="76">
        <f t="shared" si="7"/>
        <v>-2761500.8536539795</v>
      </c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4.25" customHeight="1" x14ac:dyDescent="0.15">
      <c r="A640" s="70">
        <v>622</v>
      </c>
      <c r="B640" s="80">
        <f t="shared" si="6"/>
        <v>-3451.8760670674747</v>
      </c>
      <c r="C640" s="76">
        <f t="shared" si="8"/>
        <v>12417.086067067474</v>
      </c>
      <c r="D640" s="76">
        <f t="shared" si="7"/>
        <v>-2773917.9397210469</v>
      </c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4.25" customHeight="1" x14ac:dyDescent="0.15">
      <c r="A641" s="70">
        <v>623</v>
      </c>
      <c r="B641" s="80">
        <f t="shared" si="6"/>
        <v>-3467.3974246513089</v>
      </c>
      <c r="C641" s="76">
        <f t="shared" si="8"/>
        <v>12432.607424651309</v>
      </c>
      <c r="D641" s="76">
        <f t="shared" si="7"/>
        <v>-2786350.5471456982</v>
      </c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4.25" customHeight="1" x14ac:dyDescent="0.15">
      <c r="A642" s="70">
        <v>624</v>
      </c>
      <c r="B642" s="80">
        <f t="shared" si="6"/>
        <v>-3482.9381839321231</v>
      </c>
      <c r="C642" s="76">
        <f t="shared" si="8"/>
        <v>12448.148183932122</v>
      </c>
      <c r="D642" s="76">
        <f t="shared" si="7"/>
        <v>-2798798.6953296303</v>
      </c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4.25" customHeight="1" x14ac:dyDescent="0.15">
      <c r="A643" s="70">
        <v>625</v>
      </c>
      <c r="B643" s="80">
        <f t="shared" si="6"/>
        <v>-3498.4983691620382</v>
      </c>
      <c r="C643" s="76">
        <f t="shared" si="8"/>
        <v>12463.708369162037</v>
      </c>
      <c r="D643" s="76">
        <f t="shared" si="7"/>
        <v>-2811262.4036987922</v>
      </c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4.25" customHeight="1" x14ac:dyDescent="0.15">
      <c r="A644" s="70">
        <v>626</v>
      </c>
      <c r="B644" s="80">
        <f t="shared" si="6"/>
        <v>-3514.07800462349</v>
      </c>
      <c r="C644" s="76">
        <f t="shared" si="8"/>
        <v>12479.28800462349</v>
      </c>
      <c r="D644" s="76">
        <f t="shared" si="7"/>
        <v>-2823741.6917034155</v>
      </c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4.25" customHeight="1" x14ac:dyDescent="0.15">
      <c r="A645" s="70">
        <v>627</v>
      </c>
      <c r="B645" s="80">
        <f t="shared" si="6"/>
        <v>-3529.6771146292695</v>
      </c>
      <c r="C645" s="76">
        <f t="shared" si="8"/>
        <v>12494.887114629269</v>
      </c>
      <c r="D645" s="76">
        <f t="shared" si="7"/>
        <v>-2836236.5788180446</v>
      </c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4.25" customHeight="1" x14ac:dyDescent="0.15">
      <c r="A646" s="70">
        <v>628</v>
      </c>
      <c r="B646" s="80">
        <f t="shared" si="6"/>
        <v>-3545.2957235225558</v>
      </c>
      <c r="C646" s="76">
        <f t="shared" si="8"/>
        <v>12510.505723522554</v>
      </c>
      <c r="D646" s="76">
        <f t="shared" si="7"/>
        <v>-2848747.0845415671</v>
      </c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4.25" customHeight="1" x14ac:dyDescent="0.15">
      <c r="A647" s="70">
        <v>629</v>
      </c>
      <c r="B647" s="80">
        <f t="shared" si="6"/>
        <v>-3560.933855676959</v>
      </c>
      <c r="C647" s="76">
        <f t="shared" si="8"/>
        <v>12526.143855676957</v>
      </c>
      <c r="D647" s="76">
        <f t="shared" si="7"/>
        <v>-2861273.2283972441</v>
      </c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4.25" customHeight="1" x14ac:dyDescent="0.15">
      <c r="A648" s="70">
        <v>630</v>
      </c>
      <c r="B648" s="80">
        <f t="shared" si="6"/>
        <v>-3576.591535496555</v>
      </c>
      <c r="C648" s="76">
        <f t="shared" si="8"/>
        <v>12541.801535496554</v>
      </c>
      <c r="D648" s="76">
        <f t="shared" si="7"/>
        <v>-2873815.0299327406</v>
      </c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4.25" customHeight="1" x14ac:dyDescent="0.15">
      <c r="A649" s="70">
        <v>631</v>
      </c>
      <c r="B649" s="80">
        <f t="shared" si="6"/>
        <v>-3592.268787415926</v>
      </c>
      <c r="C649" s="76">
        <f t="shared" si="8"/>
        <v>12557.478787415925</v>
      </c>
      <c r="D649" s="76">
        <f t="shared" si="7"/>
        <v>-2886372.5087201567</v>
      </c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4.25" customHeight="1" x14ac:dyDescent="0.15">
      <c r="A650" s="70">
        <v>632</v>
      </c>
      <c r="B650" s="80">
        <f t="shared" si="6"/>
        <v>-3607.965635900196</v>
      </c>
      <c r="C650" s="76">
        <f t="shared" si="8"/>
        <v>12573.175635900196</v>
      </c>
      <c r="D650" s="76">
        <f t="shared" si="7"/>
        <v>-2898945.6843560571</v>
      </c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4.25" customHeight="1" x14ac:dyDescent="0.15">
      <c r="A651" s="70">
        <v>633</v>
      </c>
      <c r="B651" s="80">
        <f t="shared" si="6"/>
        <v>-3623.6821054450711</v>
      </c>
      <c r="C651" s="76">
        <f t="shared" si="8"/>
        <v>12588.892105445069</v>
      </c>
      <c r="D651" s="76">
        <f t="shared" si="7"/>
        <v>-2911534.5764615024</v>
      </c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4.25" customHeight="1" x14ac:dyDescent="0.15">
      <c r="A652" s="70">
        <v>634</v>
      </c>
      <c r="B652" s="80">
        <f t="shared" si="6"/>
        <v>-3639.4182205768784</v>
      </c>
      <c r="C652" s="76">
        <f t="shared" si="8"/>
        <v>12604.628220576877</v>
      </c>
      <c r="D652" s="76">
        <f t="shared" si="7"/>
        <v>-2924139.2046820791</v>
      </c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4.25" customHeight="1" x14ac:dyDescent="0.15">
      <c r="A653" s="70">
        <v>635</v>
      </c>
      <c r="B653" s="80">
        <f t="shared" si="6"/>
        <v>-3655.1740058525993</v>
      </c>
      <c r="C653" s="76">
        <f t="shared" si="8"/>
        <v>12620.384005852598</v>
      </c>
      <c r="D653" s="76">
        <f t="shared" si="7"/>
        <v>-2936759.5886879317</v>
      </c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4.25" customHeight="1" x14ac:dyDescent="0.15">
      <c r="A654" s="70">
        <v>636</v>
      </c>
      <c r="B654" s="80">
        <f t="shared" si="6"/>
        <v>-3670.9494858599146</v>
      </c>
      <c r="C654" s="76">
        <f t="shared" si="8"/>
        <v>12636.159485859913</v>
      </c>
      <c r="D654" s="76">
        <f t="shared" si="7"/>
        <v>-2949395.7481737914</v>
      </c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4.25" customHeight="1" x14ac:dyDescent="0.15">
      <c r="A655" s="70">
        <v>637</v>
      </c>
      <c r="B655" s="80">
        <f t="shared" si="6"/>
        <v>-3686.7446852172393</v>
      </c>
      <c r="C655" s="76">
        <f t="shared" si="8"/>
        <v>12651.954685217239</v>
      </c>
      <c r="D655" s="76">
        <f t="shared" si="7"/>
        <v>-2962047.7028590087</v>
      </c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4.25" customHeight="1" x14ac:dyDescent="0.15">
      <c r="A656" s="70">
        <v>638</v>
      </c>
      <c r="B656" s="80">
        <f t="shared" si="6"/>
        <v>-3702.5596285737611</v>
      </c>
      <c r="C656" s="76">
        <f t="shared" si="8"/>
        <v>12667.76962857376</v>
      </c>
      <c r="D656" s="76">
        <f t="shared" si="7"/>
        <v>-2974715.4724875824</v>
      </c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4.25" customHeight="1" x14ac:dyDescent="0.15">
      <c r="A657" s="70">
        <v>639</v>
      </c>
      <c r="B657" s="80">
        <f t="shared" si="6"/>
        <v>-3718.3943406094777</v>
      </c>
      <c r="C657" s="76">
        <f t="shared" si="8"/>
        <v>12683.604340609476</v>
      </c>
      <c r="D657" s="76">
        <f t="shared" si="7"/>
        <v>-2987399.076828192</v>
      </c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4.25" customHeight="1" x14ac:dyDescent="0.15">
      <c r="A658" s="70">
        <v>640</v>
      </c>
      <c r="B658" s="80">
        <f t="shared" si="6"/>
        <v>-3734.2488460352401</v>
      </c>
      <c r="C658" s="76">
        <f t="shared" si="8"/>
        <v>12699.458846035239</v>
      </c>
      <c r="D658" s="76">
        <f t="shared" si="7"/>
        <v>-3000098.5356742274</v>
      </c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4.25" customHeight="1" x14ac:dyDescent="0.15">
      <c r="A659" s="70">
        <v>641</v>
      </c>
      <c r="B659" s="80">
        <f t="shared" si="6"/>
        <v>-3750.1231695927845</v>
      </c>
      <c r="C659" s="76">
        <f t="shared" si="8"/>
        <v>12715.333169592785</v>
      </c>
      <c r="D659" s="76">
        <f t="shared" si="7"/>
        <v>-3012813.8688438204</v>
      </c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4.25" customHeight="1" x14ac:dyDescent="0.15">
      <c r="A660" s="70">
        <v>642</v>
      </c>
      <c r="B660" s="80">
        <f t="shared" si="6"/>
        <v>-3766.0173360547756</v>
      </c>
      <c r="C660" s="76">
        <f t="shared" si="8"/>
        <v>12731.227336054775</v>
      </c>
      <c r="D660" s="76">
        <f t="shared" si="7"/>
        <v>-3025545.0961798751</v>
      </c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4.25" customHeight="1" x14ac:dyDescent="0.15">
      <c r="A661" s="70">
        <v>643</v>
      </c>
      <c r="B661" s="80">
        <f t="shared" si="6"/>
        <v>-3781.9313702248442</v>
      </c>
      <c r="C661" s="76">
        <f t="shared" si="8"/>
        <v>12747.141370224843</v>
      </c>
      <c r="D661" s="76">
        <f t="shared" si="7"/>
        <v>-3038292.2375500998</v>
      </c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4.25" customHeight="1" x14ac:dyDescent="0.15">
      <c r="A662" s="70">
        <v>644</v>
      </c>
      <c r="B662" s="80">
        <f t="shared" si="6"/>
        <v>-3797.8652969376249</v>
      </c>
      <c r="C662" s="76">
        <f t="shared" si="8"/>
        <v>12763.075296937624</v>
      </c>
      <c r="D662" s="76">
        <f t="shared" si="7"/>
        <v>-3051055.3128470373</v>
      </c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4.25" customHeight="1" x14ac:dyDescent="0.15">
      <c r="A663" s="70">
        <v>645</v>
      </c>
      <c r="B663" s="80">
        <f t="shared" si="6"/>
        <v>-3813.819141058797</v>
      </c>
      <c r="C663" s="76">
        <f t="shared" si="8"/>
        <v>12779.029141058796</v>
      </c>
      <c r="D663" s="76">
        <f t="shared" si="7"/>
        <v>-3063834.341988096</v>
      </c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4.25" customHeight="1" x14ac:dyDescent="0.15">
      <c r="A664" s="70">
        <v>646</v>
      </c>
      <c r="B664" s="80">
        <f t="shared" si="6"/>
        <v>-3829.7929274851199</v>
      </c>
      <c r="C664" s="76">
        <f t="shared" si="8"/>
        <v>12795.002927485119</v>
      </c>
      <c r="D664" s="76">
        <f t="shared" si="7"/>
        <v>-3076629.3449155809</v>
      </c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4.25" customHeight="1" x14ac:dyDescent="0.15">
      <c r="A665" s="70">
        <v>647</v>
      </c>
      <c r="B665" s="80">
        <f t="shared" si="6"/>
        <v>-3845.7866811444765</v>
      </c>
      <c r="C665" s="76">
        <f t="shared" si="8"/>
        <v>12810.996681144476</v>
      </c>
      <c r="D665" s="76">
        <f t="shared" si="7"/>
        <v>-3089440.3415967254</v>
      </c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4.25" customHeight="1" x14ac:dyDescent="0.15">
      <c r="A666" s="70">
        <v>648</v>
      </c>
      <c r="B666" s="80">
        <f t="shared" si="6"/>
        <v>-3861.8004269959065</v>
      </c>
      <c r="C666" s="76">
        <f t="shared" si="8"/>
        <v>12827.010426995905</v>
      </c>
      <c r="D666" s="76">
        <f t="shared" si="7"/>
        <v>-3102267.3520237212</v>
      </c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4.25" customHeight="1" x14ac:dyDescent="0.15">
      <c r="A667" s="70">
        <v>649</v>
      </c>
      <c r="B667" s="80">
        <f t="shared" si="6"/>
        <v>-3877.8341900296514</v>
      </c>
      <c r="C667" s="76">
        <f t="shared" si="8"/>
        <v>12843.04419002965</v>
      </c>
      <c r="D667" s="76">
        <f t="shared" si="7"/>
        <v>-3115110.3962137508</v>
      </c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4.25" customHeight="1" x14ac:dyDescent="0.15">
      <c r="A668" s="70">
        <v>650</v>
      </c>
      <c r="B668" s="80">
        <f t="shared" si="6"/>
        <v>-3893.8879952671882</v>
      </c>
      <c r="C668" s="76">
        <f t="shared" si="8"/>
        <v>12859.097995267188</v>
      </c>
      <c r="D668" s="76">
        <f t="shared" si="7"/>
        <v>-3127969.4942090181</v>
      </c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4.25" customHeight="1" x14ac:dyDescent="0.15">
      <c r="A669" s="70">
        <v>651</v>
      </c>
      <c r="B669" s="80">
        <f t="shared" si="6"/>
        <v>-3909.9618677612725</v>
      </c>
      <c r="C669" s="76">
        <f t="shared" si="8"/>
        <v>12875.171867761272</v>
      </c>
      <c r="D669" s="76">
        <f t="shared" si="7"/>
        <v>-3140844.6660767794</v>
      </c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4.25" customHeight="1" x14ac:dyDescent="0.15">
      <c r="A670" s="70">
        <v>652</v>
      </c>
      <c r="B670" s="80">
        <f t="shared" si="6"/>
        <v>-3926.0558325959742</v>
      </c>
      <c r="C670" s="76">
        <f t="shared" si="8"/>
        <v>12891.265832595973</v>
      </c>
      <c r="D670" s="76">
        <f t="shared" si="7"/>
        <v>-3153735.9319093754</v>
      </c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4.25" customHeight="1" x14ac:dyDescent="0.15">
      <c r="A671" s="70">
        <v>653</v>
      </c>
      <c r="B671" s="80">
        <f t="shared" si="6"/>
        <v>-3942.1699148867192</v>
      </c>
      <c r="C671" s="76">
        <f t="shared" si="8"/>
        <v>12907.379914886718</v>
      </c>
      <c r="D671" s="76">
        <f t="shared" si="7"/>
        <v>-3166643.3118242621</v>
      </c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4.25" customHeight="1" x14ac:dyDescent="0.15">
      <c r="A672" s="70">
        <v>654</v>
      </c>
      <c r="B672" s="80">
        <f t="shared" si="6"/>
        <v>-3958.3041397803277</v>
      </c>
      <c r="C672" s="76">
        <f t="shared" si="8"/>
        <v>12923.514139780327</v>
      </c>
      <c r="D672" s="76">
        <f t="shared" si="7"/>
        <v>-3179566.8259640425</v>
      </c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4.25" customHeight="1" x14ac:dyDescent="0.15">
      <c r="A673" s="70">
        <v>655</v>
      </c>
      <c r="B673" s="80">
        <f t="shared" si="6"/>
        <v>-3974.458532455053</v>
      </c>
      <c r="C673" s="76">
        <f t="shared" si="8"/>
        <v>12939.668532455053</v>
      </c>
      <c r="D673" s="76">
        <f t="shared" si="7"/>
        <v>-3192506.4944964973</v>
      </c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4.25" customHeight="1" x14ac:dyDescent="0.15">
      <c r="A674" s="70">
        <v>656</v>
      </c>
      <c r="B674" s="80">
        <f t="shared" si="6"/>
        <v>-3990.6331181206215</v>
      </c>
      <c r="C674" s="76">
        <f t="shared" si="8"/>
        <v>12955.843118120622</v>
      </c>
      <c r="D674" s="76">
        <f t="shared" si="7"/>
        <v>-3205462.3376146178</v>
      </c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4.25" customHeight="1" x14ac:dyDescent="0.15">
      <c r="A675" s="70">
        <v>657</v>
      </c>
      <c r="B675" s="80">
        <f t="shared" si="6"/>
        <v>-4006.8279220182721</v>
      </c>
      <c r="C675" s="76">
        <f t="shared" si="8"/>
        <v>12972.037922018271</v>
      </c>
      <c r="D675" s="76">
        <f t="shared" si="7"/>
        <v>-3218434.375536636</v>
      </c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4.25" customHeight="1" x14ac:dyDescent="0.15">
      <c r="A676" s="70">
        <v>658</v>
      </c>
      <c r="B676" s="80">
        <f t="shared" si="6"/>
        <v>-4023.0429694207951</v>
      </c>
      <c r="C676" s="76">
        <f t="shared" si="8"/>
        <v>12988.252969420795</v>
      </c>
      <c r="D676" s="76">
        <f t="shared" si="7"/>
        <v>-3231422.628506057</v>
      </c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4.25" customHeight="1" x14ac:dyDescent="0.15">
      <c r="A677" s="70">
        <v>659</v>
      </c>
      <c r="B677" s="80">
        <f t="shared" si="6"/>
        <v>-4039.2782856325716</v>
      </c>
      <c r="C677" s="76">
        <f t="shared" si="8"/>
        <v>13004.488285632571</v>
      </c>
      <c r="D677" s="76">
        <f t="shared" si="7"/>
        <v>-3244427.1167916898</v>
      </c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4.25" customHeight="1" x14ac:dyDescent="0.15">
      <c r="A678" s="70">
        <v>660</v>
      </c>
      <c r="B678" s="80">
        <f t="shared" si="6"/>
        <v>-4055.5338959896126</v>
      </c>
      <c r="C678" s="76">
        <f t="shared" si="8"/>
        <v>13020.743895989612</v>
      </c>
      <c r="D678" s="76">
        <f t="shared" si="7"/>
        <v>-3257447.8606876796</v>
      </c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4.25" customHeight="1" x14ac:dyDescent="0.15">
      <c r="A679" s="70">
        <v>661</v>
      </c>
      <c r="B679" s="80">
        <f t="shared" si="6"/>
        <v>-4071.8098258595996</v>
      </c>
      <c r="C679" s="76">
        <f t="shared" si="8"/>
        <v>13037.019825859599</v>
      </c>
      <c r="D679" s="76">
        <f t="shared" si="7"/>
        <v>-3270484.8805135391</v>
      </c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4.25" customHeight="1" x14ac:dyDescent="0.15">
      <c r="A680" s="70">
        <v>662</v>
      </c>
      <c r="B680" s="80">
        <f t="shared" si="6"/>
        <v>-4088.1061006419241</v>
      </c>
      <c r="C680" s="76">
        <f t="shared" si="8"/>
        <v>13053.316100641923</v>
      </c>
      <c r="D680" s="76">
        <f t="shared" si="7"/>
        <v>-3283538.1966141812</v>
      </c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4.25" customHeight="1" x14ac:dyDescent="0.15">
      <c r="A681" s="70">
        <v>663</v>
      </c>
      <c r="B681" s="80">
        <f t="shared" si="6"/>
        <v>-4104.4227457677271</v>
      </c>
      <c r="C681" s="76">
        <f t="shared" si="8"/>
        <v>13069.632745767725</v>
      </c>
      <c r="D681" s="76">
        <f t="shared" si="7"/>
        <v>-3296607.8293599491</v>
      </c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4.25" customHeight="1" x14ac:dyDescent="0.15">
      <c r="A682" s="70">
        <v>664</v>
      </c>
      <c r="B682" s="80">
        <f t="shared" si="6"/>
        <v>-4120.7597866999367</v>
      </c>
      <c r="C682" s="76">
        <f t="shared" si="8"/>
        <v>13085.969786699936</v>
      </c>
      <c r="D682" s="76">
        <f t="shared" si="7"/>
        <v>-3309693.799146649</v>
      </c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4.25" customHeight="1" x14ac:dyDescent="0.15">
      <c r="A683" s="70">
        <v>665</v>
      </c>
      <c r="B683" s="80">
        <f t="shared" si="6"/>
        <v>-4137.1172489333112</v>
      </c>
      <c r="C683" s="76">
        <f t="shared" si="8"/>
        <v>13102.32724893331</v>
      </c>
      <c r="D683" s="76">
        <f t="shared" si="7"/>
        <v>-3322796.1263955822</v>
      </c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4.25" customHeight="1" x14ac:dyDescent="0.15">
      <c r="A684" s="70">
        <v>666</v>
      </c>
      <c r="B684" s="80">
        <f t="shared" si="6"/>
        <v>-4153.4951579944773</v>
      </c>
      <c r="C684" s="76">
        <f t="shared" si="8"/>
        <v>13118.705157994476</v>
      </c>
      <c r="D684" s="76">
        <f t="shared" si="7"/>
        <v>-3335914.8315535765</v>
      </c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4.25" customHeight="1" x14ac:dyDescent="0.15">
      <c r="A685" s="70">
        <v>667</v>
      </c>
      <c r="B685" s="80">
        <f t="shared" si="6"/>
        <v>-4169.8935394419705</v>
      </c>
      <c r="C685" s="76">
        <f t="shared" si="8"/>
        <v>13135.10353944197</v>
      </c>
      <c r="D685" s="76">
        <f t="shared" si="7"/>
        <v>-3349049.9350930187</v>
      </c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4.25" customHeight="1" x14ac:dyDescent="0.15">
      <c r="A686" s="70">
        <v>668</v>
      </c>
      <c r="B686" s="80">
        <f t="shared" si="6"/>
        <v>-4186.3124188662732</v>
      </c>
      <c r="C686" s="76">
        <f t="shared" si="8"/>
        <v>13151.522418866272</v>
      </c>
      <c r="D686" s="76">
        <f t="shared" si="7"/>
        <v>-3362201.4575118851</v>
      </c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4.25" customHeight="1" x14ac:dyDescent="0.15">
      <c r="A687" s="70">
        <v>669</v>
      </c>
      <c r="B687" s="80">
        <f t="shared" si="6"/>
        <v>-4202.7518218898567</v>
      </c>
      <c r="C687" s="76">
        <f t="shared" si="8"/>
        <v>13167.961821889856</v>
      </c>
      <c r="D687" s="76">
        <f t="shared" si="7"/>
        <v>-3375369.4193337751</v>
      </c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4.25" customHeight="1" x14ac:dyDescent="0.15">
      <c r="A688" s="70">
        <v>670</v>
      </c>
      <c r="B688" s="80">
        <f t="shared" si="6"/>
        <v>-4219.2117741672191</v>
      </c>
      <c r="C688" s="76">
        <f t="shared" si="8"/>
        <v>13184.421774167218</v>
      </c>
      <c r="D688" s="76">
        <f t="shared" si="7"/>
        <v>-3388553.8411079422</v>
      </c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4.25" customHeight="1" x14ac:dyDescent="0.15">
      <c r="A689" s="70">
        <v>671</v>
      </c>
      <c r="B689" s="80">
        <f t="shared" si="6"/>
        <v>-4235.6923013849282</v>
      </c>
      <c r="C689" s="76">
        <f t="shared" si="8"/>
        <v>13200.902301384927</v>
      </c>
      <c r="D689" s="76">
        <f t="shared" si="7"/>
        <v>-3401754.7434093272</v>
      </c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4.25" customHeight="1" x14ac:dyDescent="0.15">
      <c r="A690" s="70">
        <v>672</v>
      </c>
      <c r="B690" s="80">
        <f t="shared" si="6"/>
        <v>-4252.1934292616588</v>
      </c>
      <c r="C690" s="76">
        <f t="shared" si="8"/>
        <v>13217.403429261658</v>
      </c>
      <c r="D690" s="76">
        <f t="shared" si="7"/>
        <v>-3414972.1468385891</v>
      </c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4.25" customHeight="1" x14ac:dyDescent="0.15">
      <c r="A691" s="70">
        <v>673</v>
      </c>
      <c r="B691" s="80">
        <f t="shared" si="6"/>
        <v>-4268.7151835482364</v>
      </c>
      <c r="C691" s="76">
        <f t="shared" si="8"/>
        <v>13233.925183548236</v>
      </c>
      <c r="D691" s="76">
        <f t="shared" si="7"/>
        <v>-3428206.0720221372</v>
      </c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4.25" customHeight="1" x14ac:dyDescent="0.15">
      <c r="A692" s="70">
        <v>674</v>
      </c>
      <c r="B692" s="80">
        <f t="shared" si="6"/>
        <v>-4285.2575900276715</v>
      </c>
      <c r="C692" s="76">
        <f t="shared" si="8"/>
        <v>13250.467590027671</v>
      </c>
      <c r="D692" s="76">
        <f t="shared" si="7"/>
        <v>-3441456.5396121647</v>
      </c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4.25" customHeight="1" x14ac:dyDescent="0.15">
      <c r="A693" s="70">
        <v>675</v>
      </c>
      <c r="B693" s="80">
        <f t="shared" si="6"/>
        <v>-4301.8206745152065</v>
      </c>
      <c r="C693" s="76">
        <f t="shared" si="8"/>
        <v>13267.030674515205</v>
      </c>
      <c r="D693" s="76">
        <f t="shared" si="7"/>
        <v>-3454723.57028668</v>
      </c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4.25" customHeight="1" x14ac:dyDescent="0.15">
      <c r="A694" s="70">
        <v>676</v>
      </c>
      <c r="B694" s="80">
        <f t="shared" si="6"/>
        <v>-4318.4044628583497</v>
      </c>
      <c r="C694" s="76">
        <f t="shared" si="8"/>
        <v>13283.61446285835</v>
      </c>
      <c r="D694" s="76">
        <f t="shared" si="7"/>
        <v>-3468007.1847495385</v>
      </c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4.25" customHeight="1" x14ac:dyDescent="0.15">
      <c r="A695" s="70">
        <v>677</v>
      </c>
      <c r="B695" s="80">
        <f t="shared" si="6"/>
        <v>-4335.0089809369229</v>
      </c>
      <c r="C695" s="76">
        <f t="shared" si="8"/>
        <v>13300.218980936923</v>
      </c>
      <c r="D695" s="76">
        <f t="shared" si="7"/>
        <v>-3481307.4037304753</v>
      </c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4.25" customHeight="1" x14ac:dyDescent="0.15">
      <c r="A696" s="70">
        <v>678</v>
      </c>
      <c r="B696" s="80">
        <f t="shared" si="6"/>
        <v>-4351.634254663094</v>
      </c>
      <c r="C696" s="76">
        <f t="shared" si="8"/>
        <v>13316.844254663094</v>
      </c>
      <c r="D696" s="76">
        <f t="shared" si="7"/>
        <v>-3494624.2479851386</v>
      </c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4.25" customHeight="1" x14ac:dyDescent="0.15">
      <c r="A697" s="70">
        <v>679</v>
      </c>
      <c r="B697" s="80">
        <f t="shared" si="6"/>
        <v>-4368.2803099814237</v>
      </c>
      <c r="C697" s="76">
        <f t="shared" si="8"/>
        <v>13333.490309981422</v>
      </c>
      <c r="D697" s="76">
        <f t="shared" si="7"/>
        <v>-3507957.7382951202</v>
      </c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4.25" customHeight="1" x14ac:dyDescent="0.15">
      <c r="A698" s="70">
        <v>680</v>
      </c>
      <c r="B698" s="80">
        <f t="shared" si="6"/>
        <v>-4384.9471728689005</v>
      </c>
      <c r="C698" s="76">
        <f t="shared" si="8"/>
        <v>13350.1571728689</v>
      </c>
      <c r="D698" s="76">
        <f t="shared" si="7"/>
        <v>-3521307.8954679891</v>
      </c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4.25" customHeight="1" x14ac:dyDescent="0.15">
      <c r="A699" s="70">
        <v>681</v>
      </c>
      <c r="B699" s="80">
        <f t="shared" si="6"/>
        <v>-4401.6348693349864</v>
      </c>
      <c r="C699" s="76">
        <f t="shared" si="8"/>
        <v>13366.844869334986</v>
      </c>
      <c r="D699" s="76">
        <f t="shared" si="7"/>
        <v>-3534674.7403373243</v>
      </c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4.25" customHeight="1" x14ac:dyDescent="0.15">
      <c r="A700" s="70">
        <v>682</v>
      </c>
      <c r="B700" s="80">
        <f t="shared" si="6"/>
        <v>-4418.3434254216554</v>
      </c>
      <c r="C700" s="76">
        <f t="shared" si="8"/>
        <v>13383.553425421655</v>
      </c>
      <c r="D700" s="76">
        <f t="shared" si="7"/>
        <v>-3548058.2937627458</v>
      </c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4.25" customHeight="1" x14ac:dyDescent="0.15">
      <c r="A701" s="70">
        <v>683</v>
      </c>
      <c r="B701" s="80">
        <f t="shared" si="6"/>
        <v>-4435.072867203432</v>
      </c>
      <c r="C701" s="76">
        <f t="shared" si="8"/>
        <v>13400.28286720343</v>
      </c>
      <c r="D701" s="76">
        <f t="shared" si="7"/>
        <v>-3561458.5766299493</v>
      </c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4.25" customHeight="1" x14ac:dyDescent="0.15">
      <c r="A702" s="70">
        <v>684</v>
      </c>
      <c r="B702" s="80">
        <f t="shared" si="6"/>
        <v>-4451.8232207874371</v>
      </c>
      <c r="C702" s="76">
        <f t="shared" si="8"/>
        <v>13417.033220787436</v>
      </c>
      <c r="D702" s="76">
        <f t="shared" si="7"/>
        <v>-3574875.6098507368</v>
      </c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4.25" customHeight="1" x14ac:dyDescent="0.15">
      <c r="A703" s="70">
        <v>685</v>
      </c>
      <c r="B703" s="80">
        <f t="shared" si="6"/>
        <v>-4468.5945123134215</v>
      </c>
      <c r="C703" s="76">
        <f t="shared" si="8"/>
        <v>13433.804512313422</v>
      </c>
      <c r="D703" s="76">
        <f t="shared" si="7"/>
        <v>-3588309.4143630504</v>
      </c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4.25" customHeight="1" x14ac:dyDescent="0.15">
      <c r="A704" s="70">
        <v>686</v>
      </c>
      <c r="B704" s="80">
        <f t="shared" si="6"/>
        <v>-4485.3867679538134</v>
      </c>
      <c r="C704" s="76">
        <f t="shared" si="8"/>
        <v>13450.596767953812</v>
      </c>
      <c r="D704" s="76">
        <f t="shared" si="7"/>
        <v>-3601760.011131004</v>
      </c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4.25" customHeight="1" x14ac:dyDescent="0.15">
      <c r="A705" s="70">
        <v>687</v>
      </c>
      <c r="B705" s="80">
        <f t="shared" si="6"/>
        <v>-4502.2000139137544</v>
      </c>
      <c r="C705" s="76">
        <f t="shared" si="8"/>
        <v>13467.410013913754</v>
      </c>
      <c r="D705" s="76">
        <f t="shared" si="7"/>
        <v>-3615227.4211449176</v>
      </c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4.25" customHeight="1" x14ac:dyDescent="0.15">
      <c r="A706" s="70">
        <v>688</v>
      </c>
      <c r="B706" s="80">
        <f t="shared" si="6"/>
        <v>-4519.0342764311472</v>
      </c>
      <c r="C706" s="76">
        <f t="shared" si="8"/>
        <v>13484.244276431145</v>
      </c>
      <c r="D706" s="76">
        <f t="shared" si="7"/>
        <v>-3628711.6654213485</v>
      </c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4.25" customHeight="1" x14ac:dyDescent="0.15">
      <c r="A707" s="70">
        <v>689</v>
      </c>
      <c r="B707" s="80">
        <f t="shared" si="6"/>
        <v>-4535.8895817766861</v>
      </c>
      <c r="C707" s="76">
        <f t="shared" si="8"/>
        <v>13501.099581776685</v>
      </c>
      <c r="D707" s="76">
        <f t="shared" si="7"/>
        <v>-3642212.7650031252</v>
      </c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4.25" customHeight="1" x14ac:dyDescent="0.15">
      <c r="A708" s="70">
        <v>690</v>
      </c>
      <c r="B708" s="80">
        <f t="shared" si="6"/>
        <v>-4552.7659562539066</v>
      </c>
      <c r="C708" s="76">
        <f t="shared" si="8"/>
        <v>13517.975956253906</v>
      </c>
      <c r="D708" s="76">
        <f t="shared" si="7"/>
        <v>-3655730.7409593789</v>
      </c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4.25" customHeight="1" x14ac:dyDescent="0.15">
      <c r="A709" s="70">
        <v>691</v>
      </c>
      <c r="B709" s="80">
        <f t="shared" si="6"/>
        <v>-4569.663426199224</v>
      </c>
      <c r="C709" s="76">
        <f t="shared" si="8"/>
        <v>13534.873426199223</v>
      </c>
      <c r="D709" s="76">
        <f t="shared" si="7"/>
        <v>-3669265.6143855783</v>
      </c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4.25" customHeight="1" x14ac:dyDescent="0.15">
      <c r="A710" s="70">
        <v>692</v>
      </c>
      <c r="B710" s="80">
        <f t="shared" si="6"/>
        <v>-4586.582017981973</v>
      </c>
      <c r="C710" s="76">
        <f t="shared" si="8"/>
        <v>13551.792017981972</v>
      </c>
      <c r="D710" s="76">
        <f t="shared" si="7"/>
        <v>-3682817.4064035602</v>
      </c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4.25" customHeight="1" x14ac:dyDescent="0.15">
      <c r="A711" s="70">
        <v>693</v>
      </c>
      <c r="B711" s="80">
        <f t="shared" si="6"/>
        <v>-4603.52175800445</v>
      </c>
      <c r="C711" s="76">
        <f t="shared" si="8"/>
        <v>13568.731758004449</v>
      </c>
      <c r="D711" s="76">
        <f t="shared" si="7"/>
        <v>-3696386.1381615647</v>
      </c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4.25" customHeight="1" x14ac:dyDescent="0.15">
      <c r="A712" s="70">
        <v>694</v>
      </c>
      <c r="B712" s="80">
        <f t="shared" si="6"/>
        <v>-4620.4826727019554</v>
      </c>
      <c r="C712" s="76">
        <f t="shared" si="8"/>
        <v>13585.692672701955</v>
      </c>
      <c r="D712" s="76">
        <f t="shared" si="7"/>
        <v>-3709971.8308342667</v>
      </c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4.25" customHeight="1" x14ac:dyDescent="0.15">
      <c r="A713" s="70">
        <v>695</v>
      </c>
      <c r="B713" s="80">
        <f t="shared" si="6"/>
        <v>-4637.464788542834</v>
      </c>
      <c r="C713" s="76">
        <f t="shared" si="8"/>
        <v>13602.674788542834</v>
      </c>
      <c r="D713" s="76">
        <f t="shared" si="7"/>
        <v>-3723574.5056228098</v>
      </c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4.25" customHeight="1" x14ac:dyDescent="0.15">
      <c r="A714" s="70">
        <v>696</v>
      </c>
      <c r="B714" s="80">
        <f t="shared" si="6"/>
        <v>-4654.4681320285126</v>
      </c>
      <c r="C714" s="76">
        <f t="shared" si="8"/>
        <v>13619.678132028512</v>
      </c>
      <c r="D714" s="76">
        <f t="shared" si="7"/>
        <v>-3737194.1837548381</v>
      </c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4.25" customHeight="1" x14ac:dyDescent="0.15">
      <c r="A715" s="70">
        <v>697</v>
      </c>
      <c r="B715" s="80">
        <f t="shared" si="6"/>
        <v>-4671.4927296935475</v>
      </c>
      <c r="C715" s="76">
        <f t="shared" si="8"/>
        <v>13636.702729693547</v>
      </c>
      <c r="D715" s="76">
        <f t="shared" si="7"/>
        <v>-3750830.8864845317</v>
      </c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4.25" customHeight="1" x14ac:dyDescent="0.15">
      <c r="A716" s="70">
        <v>698</v>
      </c>
      <c r="B716" s="80">
        <f t="shared" si="6"/>
        <v>-4688.5386081056649</v>
      </c>
      <c r="C716" s="76">
        <f t="shared" si="8"/>
        <v>13653.748608105663</v>
      </c>
      <c r="D716" s="76">
        <f t="shared" si="7"/>
        <v>-3764484.6350926375</v>
      </c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4.25" customHeight="1" x14ac:dyDescent="0.15">
      <c r="A717" s="70">
        <v>699</v>
      </c>
      <c r="B717" s="80">
        <f t="shared" si="6"/>
        <v>-4705.6057938657968</v>
      </c>
      <c r="C717" s="76">
        <f t="shared" si="8"/>
        <v>13670.815793865797</v>
      </c>
      <c r="D717" s="76">
        <f t="shared" si="7"/>
        <v>-3778155.4508865033</v>
      </c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4.25" customHeight="1" x14ac:dyDescent="0.15">
      <c r="A718" s="70">
        <v>700</v>
      </c>
      <c r="B718" s="80">
        <f t="shared" si="6"/>
        <v>-4722.69431360813</v>
      </c>
      <c r="C718" s="76">
        <f t="shared" si="8"/>
        <v>13687.904313608129</v>
      </c>
      <c r="D718" s="76">
        <f t="shared" si="7"/>
        <v>-3791843.3552001114</v>
      </c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4.25" customHeight="1" x14ac:dyDescent="0.15">
      <c r="A719" s="70">
        <v>701</v>
      </c>
      <c r="B719" s="80">
        <f t="shared" si="6"/>
        <v>-4739.8041940001394</v>
      </c>
      <c r="C719" s="76">
        <f t="shared" si="8"/>
        <v>13705.014194000138</v>
      </c>
      <c r="D719" s="76">
        <f t="shared" si="7"/>
        <v>-3805548.3693941114</v>
      </c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4.25" customHeight="1" x14ac:dyDescent="0.15">
      <c r="A720" s="70">
        <v>702</v>
      </c>
      <c r="B720" s="80">
        <f t="shared" si="6"/>
        <v>-4756.9354617426397</v>
      </c>
      <c r="C720" s="76">
        <f t="shared" si="8"/>
        <v>13722.145461742639</v>
      </c>
      <c r="D720" s="76">
        <f t="shared" si="7"/>
        <v>-3819270.5148558542</v>
      </c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4.25" customHeight="1" x14ac:dyDescent="0.15">
      <c r="A721" s="70">
        <v>703</v>
      </c>
      <c r="B721" s="80">
        <f t="shared" si="6"/>
        <v>-4774.0881435698184</v>
      </c>
      <c r="C721" s="76">
        <f t="shared" si="8"/>
        <v>13739.298143569817</v>
      </c>
      <c r="D721" s="76">
        <f t="shared" si="7"/>
        <v>-3833009.8129994241</v>
      </c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4.25" customHeight="1" x14ac:dyDescent="0.15">
      <c r="A722" s="70">
        <v>704</v>
      </c>
      <c r="B722" s="80">
        <f t="shared" si="6"/>
        <v>-4791.2622662492804</v>
      </c>
      <c r="C722" s="76">
        <f t="shared" si="8"/>
        <v>13756.472266249279</v>
      </c>
      <c r="D722" s="76">
        <f t="shared" si="7"/>
        <v>-3846766.2852656734</v>
      </c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4.25" customHeight="1" x14ac:dyDescent="0.15">
      <c r="A723" s="70">
        <v>705</v>
      </c>
      <c r="B723" s="80">
        <f t="shared" si="6"/>
        <v>-4808.4578565820921</v>
      </c>
      <c r="C723" s="76">
        <f t="shared" si="8"/>
        <v>13773.667856582091</v>
      </c>
      <c r="D723" s="76">
        <f t="shared" si="7"/>
        <v>-3860539.9531222554</v>
      </c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4.25" customHeight="1" x14ac:dyDescent="0.15">
      <c r="A724" s="70">
        <v>706</v>
      </c>
      <c r="B724" s="80">
        <f t="shared" si="6"/>
        <v>-4825.6749414028191</v>
      </c>
      <c r="C724" s="76">
        <f t="shared" si="8"/>
        <v>13790.884941402819</v>
      </c>
      <c r="D724" s="76">
        <f t="shared" si="7"/>
        <v>-3874330.8380636582</v>
      </c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4.25" customHeight="1" x14ac:dyDescent="0.15">
      <c r="A725" s="70">
        <v>707</v>
      </c>
      <c r="B725" s="80">
        <f t="shared" si="6"/>
        <v>-4842.9135475795729</v>
      </c>
      <c r="C725" s="76">
        <f t="shared" si="8"/>
        <v>13808.123547579573</v>
      </c>
      <c r="D725" s="76">
        <f t="shared" si="7"/>
        <v>-3888138.9616112378</v>
      </c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4.25" customHeight="1" x14ac:dyDescent="0.15">
      <c r="A726" s="70">
        <v>708</v>
      </c>
      <c r="B726" s="80">
        <f t="shared" si="6"/>
        <v>-4860.1737020140481</v>
      </c>
      <c r="C726" s="76">
        <f t="shared" si="8"/>
        <v>13825.383702014047</v>
      </c>
      <c r="D726" s="76">
        <f t="shared" si="7"/>
        <v>-3901964.3453132519</v>
      </c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4.25" customHeight="1" x14ac:dyDescent="0.15">
      <c r="A727" s="70">
        <v>709</v>
      </c>
      <c r="B727" s="80">
        <f t="shared" si="6"/>
        <v>-4877.4554316415652</v>
      </c>
      <c r="C727" s="76">
        <f t="shared" si="8"/>
        <v>13842.665431641564</v>
      </c>
      <c r="D727" s="76">
        <f t="shared" si="7"/>
        <v>-3915807.0107448935</v>
      </c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4.25" customHeight="1" x14ac:dyDescent="0.15">
      <c r="A728" s="70">
        <v>710</v>
      </c>
      <c r="B728" s="80">
        <f t="shared" si="6"/>
        <v>-4894.7587634311167</v>
      </c>
      <c r="C728" s="76">
        <f t="shared" si="8"/>
        <v>13859.968763431116</v>
      </c>
      <c r="D728" s="76">
        <f t="shared" si="7"/>
        <v>-3929666.9795083245</v>
      </c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4.25" customHeight="1" x14ac:dyDescent="0.15">
      <c r="A729" s="70">
        <v>711</v>
      </c>
      <c r="B729" s="80">
        <f t="shared" si="6"/>
        <v>-4912.0837243854057</v>
      </c>
      <c r="C729" s="76">
        <f t="shared" si="8"/>
        <v>13877.293724385405</v>
      </c>
      <c r="D729" s="76">
        <f t="shared" si="7"/>
        <v>-3943544.2732327101</v>
      </c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4.25" customHeight="1" x14ac:dyDescent="0.15">
      <c r="A730" s="70">
        <v>712</v>
      </c>
      <c r="B730" s="80">
        <f t="shared" si="6"/>
        <v>-4929.4303415408876</v>
      </c>
      <c r="C730" s="76">
        <f t="shared" si="8"/>
        <v>13894.640341540886</v>
      </c>
      <c r="D730" s="76">
        <f t="shared" si="7"/>
        <v>-3957438.9135742509</v>
      </c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4.25" customHeight="1" x14ac:dyDescent="0.15">
      <c r="A731" s="70">
        <v>713</v>
      </c>
      <c r="B731" s="80">
        <f t="shared" si="6"/>
        <v>-4946.7986419678136</v>
      </c>
      <c r="C731" s="76">
        <f t="shared" si="8"/>
        <v>13912.008641967812</v>
      </c>
      <c r="D731" s="76">
        <f t="shared" si="7"/>
        <v>-3971350.9222162189</v>
      </c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4.25" customHeight="1" x14ac:dyDescent="0.15">
      <c r="A732" s="70">
        <v>714</v>
      </c>
      <c r="B732" s="80">
        <f t="shared" si="6"/>
        <v>-4964.1886527702736</v>
      </c>
      <c r="C732" s="76">
        <f t="shared" si="8"/>
        <v>13929.398652770273</v>
      </c>
      <c r="D732" s="76">
        <f t="shared" si="7"/>
        <v>-3985280.320868989</v>
      </c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4.25" customHeight="1" x14ac:dyDescent="0.15">
      <c r="A733" s="70">
        <v>715</v>
      </c>
      <c r="B733" s="80">
        <f t="shared" si="6"/>
        <v>-4981.6004010862362</v>
      </c>
      <c r="C733" s="76">
        <f t="shared" si="8"/>
        <v>13946.810401086235</v>
      </c>
      <c r="D733" s="76">
        <f t="shared" si="7"/>
        <v>-3999227.1312700752</v>
      </c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4.25" customHeight="1" x14ac:dyDescent="0.15">
      <c r="A734" s="70">
        <v>716</v>
      </c>
      <c r="B734" s="80">
        <f t="shared" si="6"/>
        <v>-4999.033914087594</v>
      </c>
      <c r="C734" s="76">
        <f t="shared" si="8"/>
        <v>13964.243914087594</v>
      </c>
      <c r="D734" s="76">
        <f t="shared" si="7"/>
        <v>-4013191.375184163</v>
      </c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4.25" customHeight="1" x14ac:dyDescent="0.15">
      <c r="A735" s="70">
        <v>717</v>
      </c>
      <c r="B735" s="80">
        <f t="shared" si="6"/>
        <v>-5016.489218980204</v>
      </c>
      <c r="C735" s="76">
        <f t="shared" si="8"/>
        <v>13981.699218980204</v>
      </c>
      <c r="D735" s="76">
        <f t="shared" si="7"/>
        <v>-4027173.074403143</v>
      </c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4.25" customHeight="1" x14ac:dyDescent="0.15">
      <c r="A736" s="70">
        <v>718</v>
      </c>
      <c r="B736" s="80">
        <f t="shared" si="6"/>
        <v>-5033.9663430039291</v>
      </c>
      <c r="C736" s="76">
        <f t="shared" si="8"/>
        <v>13999.176343003928</v>
      </c>
      <c r="D736" s="76">
        <f t="shared" si="7"/>
        <v>-4041172.2507461468</v>
      </c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4.25" customHeight="1" x14ac:dyDescent="0.15">
      <c r="A737" s="70">
        <v>719</v>
      </c>
      <c r="B737" s="80">
        <f t="shared" si="6"/>
        <v>-5051.4653134326836</v>
      </c>
      <c r="C737" s="76">
        <f t="shared" si="8"/>
        <v>14016.675313432683</v>
      </c>
      <c r="D737" s="76">
        <f t="shared" si="7"/>
        <v>-4055188.9260595795</v>
      </c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4.25" customHeight="1" x14ac:dyDescent="0.15">
      <c r="A738" s="70">
        <v>720</v>
      </c>
      <c r="B738" s="80">
        <f t="shared" si="6"/>
        <v>-5068.9861575744744</v>
      </c>
      <c r="C738" s="76">
        <f t="shared" si="8"/>
        <v>14034.196157574474</v>
      </c>
      <c r="D738" s="76">
        <f t="shared" si="7"/>
        <v>-4069223.1222171541</v>
      </c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4.25" customHeight="1" x14ac:dyDescent="0.15">
      <c r="A739" s="70">
        <v>721</v>
      </c>
      <c r="B739" s="80">
        <f t="shared" si="6"/>
        <v>-5086.5289027714425</v>
      </c>
      <c r="C739" s="76">
        <f t="shared" si="8"/>
        <v>14051.738902771442</v>
      </c>
      <c r="D739" s="76">
        <f t="shared" si="7"/>
        <v>-4083274.8611199255</v>
      </c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4.25" customHeight="1" x14ac:dyDescent="0.15">
      <c r="A740" s="70">
        <v>722</v>
      </c>
      <c r="B740" s="80">
        <f t="shared" si="6"/>
        <v>-5104.0935763999069</v>
      </c>
      <c r="C740" s="76">
        <f t="shared" si="8"/>
        <v>14069.303576399907</v>
      </c>
      <c r="D740" s="76">
        <f t="shared" si="7"/>
        <v>-4097344.1646963255</v>
      </c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4.25" customHeight="1" x14ac:dyDescent="0.15">
      <c r="A741" s="70">
        <v>723</v>
      </c>
      <c r="B741" s="80">
        <f t="shared" si="6"/>
        <v>-5121.680205870407</v>
      </c>
      <c r="C741" s="76">
        <f t="shared" si="8"/>
        <v>14086.890205870406</v>
      </c>
      <c r="D741" s="76">
        <f t="shared" si="7"/>
        <v>-4111431.0549021959</v>
      </c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4.25" customHeight="1" x14ac:dyDescent="0.15">
      <c r="A742" s="70">
        <v>724</v>
      </c>
      <c r="B742" s="80">
        <f t="shared" si="6"/>
        <v>-5139.2888186277451</v>
      </c>
      <c r="C742" s="76">
        <f t="shared" si="8"/>
        <v>14104.498818627744</v>
      </c>
      <c r="D742" s="76">
        <f t="shared" si="7"/>
        <v>-4125535.5537208235</v>
      </c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4.25" customHeight="1" x14ac:dyDescent="0.15">
      <c r="A743" s="70">
        <v>725</v>
      </c>
      <c r="B743" s="80">
        <f t="shared" si="6"/>
        <v>-5156.9194421510292</v>
      </c>
      <c r="C743" s="76">
        <f t="shared" si="8"/>
        <v>14122.129442151028</v>
      </c>
      <c r="D743" s="76">
        <f t="shared" si="7"/>
        <v>-4139657.6831629747</v>
      </c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4.25" customHeight="1" x14ac:dyDescent="0.15">
      <c r="A744" s="70">
        <v>726</v>
      </c>
      <c r="B744" s="80">
        <f t="shared" si="6"/>
        <v>-5174.5721039537184</v>
      </c>
      <c r="C744" s="76">
        <f t="shared" si="8"/>
        <v>14139.782103953718</v>
      </c>
      <c r="D744" s="76">
        <f t="shared" si="7"/>
        <v>-4153797.4652669285</v>
      </c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4.25" customHeight="1" x14ac:dyDescent="0.15">
      <c r="A745" s="70">
        <v>727</v>
      </c>
      <c r="B745" s="80">
        <f t="shared" si="6"/>
        <v>-5192.2468315836604</v>
      </c>
      <c r="C745" s="76">
        <f t="shared" si="8"/>
        <v>14157.456831583659</v>
      </c>
      <c r="D745" s="76">
        <f t="shared" si="7"/>
        <v>-4167954.9220985123</v>
      </c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4.25" customHeight="1" x14ac:dyDescent="0.15">
      <c r="A746" s="70">
        <v>728</v>
      </c>
      <c r="B746" s="80">
        <f t="shared" si="6"/>
        <v>-5209.9436526231402</v>
      </c>
      <c r="C746" s="76">
        <f t="shared" si="8"/>
        <v>14175.153652623139</v>
      </c>
      <c r="D746" s="76">
        <f t="shared" si="7"/>
        <v>-4182130.0757511356</v>
      </c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4.25" customHeight="1" x14ac:dyDescent="0.15">
      <c r="A747" s="70">
        <v>729</v>
      </c>
      <c r="B747" s="80">
        <f t="shared" si="6"/>
        <v>-5227.6625946889199</v>
      </c>
      <c r="C747" s="76">
        <f t="shared" si="8"/>
        <v>14192.872594688919</v>
      </c>
      <c r="D747" s="76">
        <f t="shared" si="7"/>
        <v>-4196322.9483458241</v>
      </c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4.25" customHeight="1" x14ac:dyDescent="0.15">
      <c r="A748" s="70">
        <v>730</v>
      </c>
      <c r="B748" s="80">
        <f t="shared" si="6"/>
        <v>-5245.4036854322803</v>
      </c>
      <c r="C748" s="76">
        <f t="shared" si="8"/>
        <v>14210.613685432279</v>
      </c>
      <c r="D748" s="76">
        <f t="shared" si="7"/>
        <v>-4210533.562031256</v>
      </c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4.25" customHeight="1" x14ac:dyDescent="0.15">
      <c r="A749" s="70">
        <v>731</v>
      </c>
      <c r="B749" s="80">
        <f t="shared" si="6"/>
        <v>-5263.1669525390698</v>
      </c>
      <c r="C749" s="76">
        <f t="shared" si="8"/>
        <v>14228.376952539069</v>
      </c>
      <c r="D749" s="76">
        <f t="shared" si="7"/>
        <v>-4224761.9389837952</v>
      </c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4.25" customHeight="1" x14ac:dyDescent="0.15">
      <c r="A750" s="70">
        <v>732</v>
      </c>
      <c r="B750" s="80">
        <f t="shared" si="6"/>
        <v>-5280.9524237297446</v>
      </c>
      <c r="C750" s="76">
        <f t="shared" si="8"/>
        <v>14246.162423729744</v>
      </c>
      <c r="D750" s="76">
        <f t="shared" si="7"/>
        <v>-4239008.1014075251</v>
      </c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4.25" customHeight="1" x14ac:dyDescent="0.15">
      <c r="A751" s="70">
        <v>733</v>
      </c>
      <c r="B751" s="80">
        <f t="shared" si="6"/>
        <v>-5298.7601267594064</v>
      </c>
      <c r="C751" s="76">
        <f t="shared" si="8"/>
        <v>14263.970126759406</v>
      </c>
      <c r="D751" s="76">
        <f t="shared" si="7"/>
        <v>-4253272.0715342844</v>
      </c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4.25" customHeight="1" x14ac:dyDescent="0.15">
      <c r="A752" s="70">
        <v>734</v>
      </c>
      <c r="B752" s="80">
        <f t="shared" si="6"/>
        <v>-5316.5900894178549</v>
      </c>
      <c r="C752" s="76">
        <f t="shared" si="8"/>
        <v>14281.800089417855</v>
      </c>
      <c r="D752" s="76">
        <f t="shared" si="7"/>
        <v>-4267553.8716237023</v>
      </c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4.25" customHeight="1" x14ac:dyDescent="0.15">
      <c r="A753" s="70">
        <v>735</v>
      </c>
      <c r="B753" s="80">
        <f t="shared" si="6"/>
        <v>-5334.442339529628</v>
      </c>
      <c r="C753" s="76">
        <f t="shared" si="8"/>
        <v>14299.652339529628</v>
      </c>
      <c r="D753" s="76">
        <f t="shared" si="7"/>
        <v>-4281853.5239632316</v>
      </c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4.25" customHeight="1" x14ac:dyDescent="0.15">
      <c r="A754" s="70">
        <v>736</v>
      </c>
      <c r="B754" s="80">
        <f t="shared" si="6"/>
        <v>-5352.3169049540393</v>
      </c>
      <c r="C754" s="76">
        <f t="shared" si="8"/>
        <v>14317.526904954038</v>
      </c>
      <c r="D754" s="76">
        <f t="shared" si="7"/>
        <v>-4296171.0508681852</v>
      </c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4.25" customHeight="1" x14ac:dyDescent="0.15">
      <c r="A755" s="70">
        <v>737</v>
      </c>
      <c r="B755" s="80">
        <f t="shared" si="6"/>
        <v>-5370.213813585231</v>
      </c>
      <c r="C755" s="76">
        <f t="shared" si="8"/>
        <v>14335.42381358523</v>
      </c>
      <c r="D755" s="76">
        <f t="shared" si="7"/>
        <v>-4310506.4746817704</v>
      </c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4.25" customHeight="1" x14ac:dyDescent="0.15">
      <c r="A756" s="70">
        <v>738</v>
      </c>
      <c r="B756" s="80">
        <f t="shared" si="6"/>
        <v>-5388.1330933522131</v>
      </c>
      <c r="C756" s="76">
        <f t="shared" si="8"/>
        <v>14353.343093352212</v>
      </c>
      <c r="D756" s="76">
        <f t="shared" si="7"/>
        <v>-4324859.8177751228</v>
      </c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4.25" customHeight="1" x14ac:dyDescent="0.15">
      <c r="A757" s="70">
        <v>739</v>
      </c>
      <c r="B757" s="80">
        <f t="shared" si="6"/>
        <v>-5406.0747722189035</v>
      </c>
      <c r="C757" s="76">
        <f t="shared" si="8"/>
        <v>14371.284772218904</v>
      </c>
      <c r="D757" s="76">
        <f t="shared" si="7"/>
        <v>-4339231.102547342</v>
      </c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4.25" customHeight="1" x14ac:dyDescent="0.15">
      <c r="A758" s="70">
        <v>740</v>
      </c>
      <c r="B758" s="80">
        <f t="shared" si="6"/>
        <v>-5424.0388781841775</v>
      </c>
      <c r="C758" s="76">
        <f t="shared" si="8"/>
        <v>14389.248878184177</v>
      </c>
      <c r="D758" s="76">
        <f t="shared" si="7"/>
        <v>-4353620.3514255257</v>
      </c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4.25" customHeight="1" x14ac:dyDescent="0.15">
      <c r="A759" s="70">
        <v>741</v>
      </c>
      <c r="B759" s="80">
        <f t="shared" si="6"/>
        <v>-5442.0254392819079</v>
      </c>
      <c r="C759" s="76">
        <f t="shared" si="8"/>
        <v>14407.235439281907</v>
      </c>
      <c r="D759" s="76">
        <f t="shared" si="7"/>
        <v>-4368027.5868648076</v>
      </c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4.25" customHeight="1" x14ac:dyDescent="0.15">
      <c r="A760" s="70">
        <v>742</v>
      </c>
      <c r="B760" s="80">
        <f t="shared" si="6"/>
        <v>-5460.0344835810101</v>
      </c>
      <c r="C760" s="76">
        <f t="shared" si="8"/>
        <v>14425.244483581009</v>
      </c>
      <c r="D760" s="76">
        <f t="shared" si="7"/>
        <v>-4382452.8313483885</v>
      </c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4.25" customHeight="1" x14ac:dyDescent="0.15">
      <c r="A761" s="70">
        <v>743</v>
      </c>
      <c r="B761" s="80">
        <f t="shared" si="6"/>
        <v>-5478.0660391854854</v>
      </c>
      <c r="C761" s="76">
        <f t="shared" si="8"/>
        <v>14443.276039185484</v>
      </c>
      <c r="D761" s="76">
        <f t="shared" si="7"/>
        <v>-4396896.1073875744</v>
      </c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4.25" customHeight="1" x14ac:dyDescent="0.15">
      <c r="A762" s="70">
        <v>744</v>
      </c>
      <c r="B762" s="80">
        <f t="shared" si="6"/>
        <v>-5496.1201342344684</v>
      </c>
      <c r="C762" s="76">
        <f t="shared" si="8"/>
        <v>14461.330134234468</v>
      </c>
      <c r="D762" s="76">
        <f t="shared" si="7"/>
        <v>-4411357.4375218088</v>
      </c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4.25" customHeight="1" x14ac:dyDescent="0.15">
      <c r="A763" s="70">
        <v>745</v>
      </c>
      <c r="B763" s="80">
        <f t="shared" si="6"/>
        <v>-5514.1967969022608</v>
      </c>
      <c r="C763" s="76">
        <f t="shared" si="8"/>
        <v>14479.40679690226</v>
      </c>
      <c r="D763" s="76">
        <f t="shared" si="7"/>
        <v>-4425836.8443187112</v>
      </c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4.25" customHeight="1" x14ac:dyDescent="0.15">
      <c r="A764" s="70">
        <v>746</v>
      </c>
      <c r="B764" s="80">
        <f t="shared" si="6"/>
        <v>-5532.2960553983885</v>
      </c>
      <c r="C764" s="76">
        <f t="shared" si="8"/>
        <v>14497.506055398388</v>
      </c>
      <c r="D764" s="76">
        <f t="shared" si="7"/>
        <v>-4440334.35037411</v>
      </c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4.25" customHeight="1" x14ac:dyDescent="0.15">
      <c r="A765" s="70">
        <v>747</v>
      </c>
      <c r="B765" s="80">
        <f t="shared" si="6"/>
        <v>-5550.417937967637</v>
      </c>
      <c r="C765" s="76">
        <f t="shared" si="8"/>
        <v>14515.627937967636</v>
      </c>
      <c r="D765" s="76">
        <f t="shared" si="7"/>
        <v>-4454849.9783120779</v>
      </c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4.25" customHeight="1" x14ac:dyDescent="0.15">
      <c r="A766" s="70">
        <v>748</v>
      </c>
      <c r="B766" s="80">
        <f t="shared" si="6"/>
        <v>-5568.5624728900975</v>
      </c>
      <c r="C766" s="76">
        <f t="shared" si="8"/>
        <v>14533.772472890098</v>
      </c>
      <c r="D766" s="76">
        <f t="shared" si="7"/>
        <v>-4469383.750784968</v>
      </c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4.25" customHeight="1" x14ac:dyDescent="0.15">
      <c r="A767" s="70">
        <v>749</v>
      </c>
      <c r="B767" s="80">
        <f t="shared" si="6"/>
        <v>-5586.7296884812104</v>
      </c>
      <c r="C767" s="76">
        <f t="shared" si="8"/>
        <v>14551.939688481209</v>
      </c>
      <c r="D767" s="76">
        <f t="shared" si="7"/>
        <v>-4483935.6904734494</v>
      </c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4.25" customHeight="1" x14ac:dyDescent="0.15">
      <c r="A768" s="70">
        <v>750</v>
      </c>
      <c r="B768" s="80">
        <f t="shared" si="6"/>
        <v>-5604.9196130918126</v>
      </c>
      <c r="C768" s="76">
        <f t="shared" si="8"/>
        <v>14570.129613091813</v>
      </c>
      <c r="D768" s="76">
        <f t="shared" si="7"/>
        <v>-4498505.8200865416</v>
      </c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4.25" customHeight="1" x14ac:dyDescent="0.15">
      <c r="A769" s="70">
        <v>751</v>
      </c>
      <c r="B769" s="80">
        <f t="shared" si="6"/>
        <v>-5623.1322751081771</v>
      </c>
      <c r="C769" s="76">
        <f t="shared" si="8"/>
        <v>14588.342275108176</v>
      </c>
      <c r="D769" s="76">
        <f t="shared" si="7"/>
        <v>-4513094.1623616498</v>
      </c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4.25" customHeight="1" x14ac:dyDescent="0.15">
      <c r="A770" s="70">
        <v>752</v>
      </c>
      <c r="B770" s="80">
        <f t="shared" si="6"/>
        <v>-5641.3677029520622</v>
      </c>
      <c r="C770" s="76">
        <f t="shared" si="8"/>
        <v>14606.577702952061</v>
      </c>
      <c r="D770" s="76">
        <f t="shared" si="7"/>
        <v>-4527700.7400646014</v>
      </c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4.25" customHeight="1" x14ac:dyDescent="0.15">
      <c r="A771" s="70">
        <v>753</v>
      </c>
      <c r="B771" s="80">
        <f t="shared" si="6"/>
        <v>-5659.6259250807525</v>
      </c>
      <c r="C771" s="76">
        <f t="shared" si="8"/>
        <v>14624.835925080752</v>
      </c>
      <c r="D771" s="76">
        <f t="shared" si="7"/>
        <v>-4542325.5759896822</v>
      </c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4.25" customHeight="1" x14ac:dyDescent="0.15">
      <c r="A772" s="70">
        <v>754</v>
      </c>
      <c r="B772" s="80">
        <f t="shared" si="6"/>
        <v>-5677.9069699871034</v>
      </c>
      <c r="C772" s="76">
        <f t="shared" si="8"/>
        <v>14643.116969987102</v>
      </c>
      <c r="D772" s="76">
        <f t="shared" si="7"/>
        <v>-4556968.692959669</v>
      </c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4.25" customHeight="1" x14ac:dyDescent="0.15">
      <c r="A773" s="70">
        <v>755</v>
      </c>
      <c r="B773" s="80">
        <f t="shared" si="6"/>
        <v>-5696.2108661995871</v>
      </c>
      <c r="C773" s="76">
        <f t="shared" si="8"/>
        <v>14661.420866199587</v>
      </c>
      <c r="D773" s="76">
        <f t="shared" si="7"/>
        <v>-4571630.1138258688</v>
      </c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4.25" customHeight="1" x14ac:dyDescent="0.15">
      <c r="A774" s="70">
        <v>756</v>
      </c>
      <c r="B774" s="80">
        <f t="shared" si="6"/>
        <v>-5714.5376422823365</v>
      </c>
      <c r="C774" s="76">
        <f t="shared" si="8"/>
        <v>14679.747642282335</v>
      </c>
      <c r="D774" s="76">
        <f t="shared" si="7"/>
        <v>-4586309.8614681512</v>
      </c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4.25" customHeight="1" x14ac:dyDescent="0.15">
      <c r="A775" s="70">
        <v>757</v>
      </c>
      <c r="B775" s="80">
        <f t="shared" si="6"/>
        <v>-5732.887326835189</v>
      </c>
      <c r="C775" s="76">
        <f t="shared" si="8"/>
        <v>14698.097326835188</v>
      </c>
      <c r="D775" s="76">
        <f t="shared" si="7"/>
        <v>-4601007.9587949868</v>
      </c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4.25" customHeight="1" x14ac:dyDescent="0.15">
      <c r="A776" s="70">
        <v>758</v>
      </c>
      <c r="B776" s="80">
        <f t="shared" si="6"/>
        <v>-5751.2599484937336</v>
      </c>
      <c r="C776" s="76">
        <f t="shared" si="8"/>
        <v>14716.469948493734</v>
      </c>
      <c r="D776" s="76">
        <f t="shared" si="7"/>
        <v>-4615724.4287434807</v>
      </c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4.25" customHeight="1" x14ac:dyDescent="0.15">
      <c r="A777" s="70">
        <v>759</v>
      </c>
      <c r="B777" s="80">
        <f t="shared" si="6"/>
        <v>-5769.6555359293507</v>
      </c>
      <c r="C777" s="76">
        <f t="shared" si="8"/>
        <v>14734.86553592935</v>
      </c>
      <c r="D777" s="76">
        <f t="shared" si="7"/>
        <v>-4630459.2942794105</v>
      </c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4.25" customHeight="1" x14ac:dyDescent="0.15">
      <c r="A778" s="70">
        <v>760</v>
      </c>
      <c r="B778" s="80">
        <f t="shared" si="6"/>
        <v>-5788.0741178492626</v>
      </c>
      <c r="C778" s="76">
        <f t="shared" si="8"/>
        <v>14753.284117849262</v>
      </c>
      <c r="D778" s="76">
        <f t="shared" si="7"/>
        <v>-4645212.57839726</v>
      </c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4.25" customHeight="1" x14ac:dyDescent="0.15">
      <c r="A779" s="70">
        <v>761</v>
      </c>
      <c r="B779" s="80">
        <f t="shared" si="6"/>
        <v>-5806.5157229965753</v>
      </c>
      <c r="C779" s="76">
        <f t="shared" si="8"/>
        <v>14771.725722996574</v>
      </c>
      <c r="D779" s="76">
        <f t="shared" si="7"/>
        <v>-4659984.3041202566</v>
      </c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4.25" customHeight="1" x14ac:dyDescent="0.15">
      <c r="A780" s="70">
        <v>762</v>
      </c>
      <c r="B780" s="80">
        <f t="shared" si="6"/>
        <v>-5824.9803801503203</v>
      </c>
      <c r="C780" s="76">
        <f t="shared" si="8"/>
        <v>14790.190380150319</v>
      </c>
      <c r="D780" s="76">
        <f t="shared" si="7"/>
        <v>-4674774.494500407</v>
      </c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4.25" customHeight="1" x14ac:dyDescent="0.15">
      <c r="A781" s="70">
        <v>763</v>
      </c>
      <c r="B781" s="80">
        <f t="shared" si="6"/>
        <v>-5843.4681181255091</v>
      </c>
      <c r="C781" s="76">
        <f t="shared" si="8"/>
        <v>14808.678118125508</v>
      </c>
      <c r="D781" s="76">
        <f t="shared" si="7"/>
        <v>-4689583.1726185326</v>
      </c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4.25" customHeight="1" x14ac:dyDescent="0.15">
      <c r="A782" s="70">
        <v>764</v>
      </c>
      <c r="B782" s="80">
        <f t="shared" si="6"/>
        <v>-5861.9789657731653</v>
      </c>
      <c r="C782" s="76">
        <f t="shared" si="8"/>
        <v>14827.188965773164</v>
      </c>
      <c r="D782" s="76">
        <f t="shared" si="7"/>
        <v>-4704410.3615843058</v>
      </c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4.25" customHeight="1" x14ac:dyDescent="0.15">
      <c r="A783" s="70">
        <v>765</v>
      </c>
      <c r="B783" s="80">
        <f t="shared" si="6"/>
        <v>-5880.5129519803822</v>
      </c>
      <c r="C783" s="76">
        <f t="shared" si="8"/>
        <v>14845.72295198038</v>
      </c>
      <c r="D783" s="76">
        <f t="shared" si="7"/>
        <v>-4719256.0845362861</v>
      </c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4.25" customHeight="1" x14ac:dyDescent="0.15">
      <c r="A784" s="70">
        <v>766</v>
      </c>
      <c r="B784" s="80">
        <f t="shared" si="6"/>
        <v>-5899.0701056703583</v>
      </c>
      <c r="C784" s="76">
        <f t="shared" si="8"/>
        <v>14864.280105670357</v>
      </c>
      <c r="D784" s="76">
        <f t="shared" si="7"/>
        <v>-4734120.3646419561</v>
      </c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4.25" customHeight="1" x14ac:dyDescent="0.15">
      <c r="A785" s="70">
        <v>767</v>
      </c>
      <c r="B785" s="80">
        <f t="shared" ref="B785:B798" si="9">D784*$C$9/26</f>
        <v>-5917.6504558024453</v>
      </c>
      <c r="C785" s="76">
        <f t="shared" si="8"/>
        <v>14882.860455802445</v>
      </c>
      <c r="D785" s="76">
        <f t="shared" ref="D785:D798" si="10">D784-C785</f>
        <v>-4749003.2250977587</v>
      </c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4.25" customHeight="1" x14ac:dyDescent="0.15">
      <c r="A786" s="70">
        <v>768</v>
      </c>
      <c r="B786" s="80">
        <f t="shared" si="9"/>
        <v>-5936.2540313721984</v>
      </c>
      <c r="C786" s="76">
        <f t="shared" si="8"/>
        <v>14901.464031372197</v>
      </c>
      <c r="D786" s="76">
        <f t="shared" si="10"/>
        <v>-4763904.6891291309</v>
      </c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4.25" customHeight="1" x14ac:dyDescent="0.15">
      <c r="A787" s="70">
        <v>769</v>
      </c>
      <c r="B787" s="80">
        <f t="shared" si="9"/>
        <v>-5954.8808614114141</v>
      </c>
      <c r="C787" s="76">
        <f t="shared" si="8"/>
        <v>14920.090861411412</v>
      </c>
      <c r="D787" s="76">
        <f t="shared" si="10"/>
        <v>-4778824.7799905427</v>
      </c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4.25" customHeight="1" x14ac:dyDescent="0.15">
      <c r="A788" s="70">
        <v>770</v>
      </c>
      <c r="B788" s="80">
        <f t="shared" si="9"/>
        <v>-5973.530974988179</v>
      </c>
      <c r="C788" s="76">
        <f t="shared" si="8"/>
        <v>14938.740974988177</v>
      </c>
      <c r="D788" s="76">
        <f t="shared" si="10"/>
        <v>-4793763.5209655305</v>
      </c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4.25" customHeight="1" x14ac:dyDescent="0.15">
      <c r="A789" s="70">
        <v>771</v>
      </c>
      <c r="B789" s="80">
        <f t="shared" si="9"/>
        <v>-5992.2044012069136</v>
      </c>
      <c r="C789" s="76">
        <f t="shared" si="8"/>
        <v>14957.414401206912</v>
      </c>
      <c r="D789" s="76">
        <f t="shared" si="10"/>
        <v>-4808720.9353667377</v>
      </c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4.25" customHeight="1" x14ac:dyDescent="0.15">
      <c r="A790" s="70">
        <v>772</v>
      </c>
      <c r="B790" s="80">
        <f t="shared" si="9"/>
        <v>-6010.9011692084223</v>
      </c>
      <c r="C790" s="76">
        <f t="shared" si="8"/>
        <v>14976.111169208421</v>
      </c>
      <c r="D790" s="76">
        <f t="shared" si="10"/>
        <v>-4823697.0465359464</v>
      </c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4.25" customHeight="1" x14ac:dyDescent="0.15">
      <c r="A791" s="70">
        <v>773</v>
      </c>
      <c r="B791" s="80">
        <f t="shared" si="9"/>
        <v>-6029.6213081699334</v>
      </c>
      <c r="C791" s="76">
        <f t="shared" si="8"/>
        <v>14994.831308169933</v>
      </c>
      <c r="D791" s="76">
        <f t="shared" si="10"/>
        <v>-4838691.8778441167</v>
      </c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4.25" customHeight="1" x14ac:dyDescent="0.15">
      <c r="A792" s="70">
        <v>774</v>
      </c>
      <c r="B792" s="80">
        <f t="shared" si="9"/>
        <v>-6048.3648473051453</v>
      </c>
      <c r="C792" s="76">
        <f t="shared" si="8"/>
        <v>15013.574847305144</v>
      </c>
      <c r="D792" s="76">
        <f t="shared" si="10"/>
        <v>-4853705.4526914218</v>
      </c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4.25" customHeight="1" x14ac:dyDescent="0.15">
      <c r="A793" s="70">
        <v>775</v>
      </c>
      <c r="B793" s="80">
        <f t="shared" si="9"/>
        <v>-6067.131815864278</v>
      </c>
      <c r="C793" s="76">
        <f t="shared" si="8"/>
        <v>15032.341815864278</v>
      </c>
      <c r="D793" s="76">
        <f t="shared" si="10"/>
        <v>-4868737.7945072865</v>
      </c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4.25" customHeight="1" x14ac:dyDescent="0.15">
      <c r="A794" s="70">
        <v>776</v>
      </c>
      <c r="B794" s="80">
        <f t="shared" si="9"/>
        <v>-6085.9222431341086</v>
      </c>
      <c r="C794" s="76">
        <f t="shared" si="8"/>
        <v>15051.132243134107</v>
      </c>
      <c r="D794" s="76">
        <f t="shared" si="10"/>
        <v>-4883788.9267504206</v>
      </c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4.25" customHeight="1" x14ac:dyDescent="0.15">
      <c r="A795" s="70">
        <v>777</v>
      </c>
      <c r="B795" s="80">
        <f t="shared" si="9"/>
        <v>-6104.736158438026</v>
      </c>
      <c r="C795" s="76">
        <f t="shared" si="8"/>
        <v>15069.946158438026</v>
      </c>
      <c r="D795" s="76">
        <f t="shared" si="10"/>
        <v>-4898858.8729088586</v>
      </c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4.25" customHeight="1" x14ac:dyDescent="0.15">
      <c r="A796" s="70">
        <v>778</v>
      </c>
      <c r="B796" s="80">
        <f t="shared" si="9"/>
        <v>-6123.5735911360734</v>
      </c>
      <c r="C796" s="76">
        <f t="shared" si="8"/>
        <v>15088.783591136073</v>
      </c>
      <c r="D796" s="76">
        <f t="shared" si="10"/>
        <v>-4913947.6564999949</v>
      </c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4.25" customHeight="1" x14ac:dyDescent="0.15">
      <c r="A797" s="70">
        <v>779</v>
      </c>
      <c r="B797" s="80">
        <f t="shared" si="9"/>
        <v>-6142.4345706249933</v>
      </c>
      <c r="C797" s="76">
        <f t="shared" si="8"/>
        <v>15107.644570624992</v>
      </c>
      <c r="D797" s="76">
        <f t="shared" si="10"/>
        <v>-4929055.3010706203</v>
      </c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4.25" customHeight="1" x14ac:dyDescent="0.15">
      <c r="A798" s="70">
        <v>780</v>
      </c>
      <c r="B798" s="80">
        <f t="shared" si="9"/>
        <v>-6161.319126338276</v>
      </c>
      <c r="C798" s="76">
        <f t="shared" si="8"/>
        <v>15126.529126338275</v>
      </c>
      <c r="D798" s="76">
        <f t="shared" si="10"/>
        <v>-4944181.830196959</v>
      </c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4.25" customHeight="1" x14ac:dyDescent="0.15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4.25" customHeight="1" x14ac:dyDescent="0.15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4.25" customHeight="1" x14ac:dyDescent="0.15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4.25" customHeight="1" x14ac:dyDescent="0.15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4.25" customHeight="1" x14ac:dyDescent="0.15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4.25" customHeight="1" x14ac:dyDescent="0.15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4.25" customHeight="1" x14ac:dyDescent="0.1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4.25" customHeight="1" x14ac:dyDescent="0.15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4.25" customHeight="1" x14ac:dyDescent="0.15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4.25" customHeight="1" x14ac:dyDescent="0.15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4.25" customHeight="1" x14ac:dyDescent="0.15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4.25" customHeight="1" x14ac:dyDescent="0.15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4.25" customHeight="1" x14ac:dyDescent="0.15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4.25" customHeight="1" x14ac:dyDescent="0.15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4.25" customHeight="1" x14ac:dyDescent="0.15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4.25" customHeight="1" x14ac:dyDescent="0.15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4.25" customHeight="1" x14ac:dyDescent="0.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4.25" customHeight="1" x14ac:dyDescent="0.15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4.25" customHeight="1" x14ac:dyDescent="0.15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4.25" customHeight="1" x14ac:dyDescent="0.15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4.25" customHeight="1" x14ac:dyDescent="0.15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4.25" customHeight="1" x14ac:dyDescent="0.15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4.25" customHeight="1" x14ac:dyDescent="0.15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4.25" customHeight="1" x14ac:dyDescent="0.15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4.25" customHeight="1" x14ac:dyDescent="0.15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4.25" customHeight="1" x14ac:dyDescent="0.15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4.25" customHeight="1" x14ac:dyDescent="0.1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4.25" customHeight="1" x14ac:dyDescent="0.15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4.25" customHeight="1" x14ac:dyDescent="0.15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4.25" customHeight="1" x14ac:dyDescent="0.15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4.25" customHeight="1" x14ac:dyDescent="0.15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4.25" customHeight="1" x14ac:dyDescent="0.15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4.25" customHeight="1" x14ac:dyDescent="0.15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4.25" customHeight="1" x14ac:dyDescent="0.15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4.25" customHeight="1" x14ac:dyDescent="0.15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4.25" customHeight="1" x14ac:dyDescent="0.15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4.25" customHeight="1" x14ac:dyDescent="0.1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4.25" customHeight="1" x14ac:dyDescent="0.15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4.25" customHeight="1" x14ac:dyDescent="0.15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4.25" customHeight="1" x14ac:dyDescent="0.15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4.25" customHeight="1" x14ac:dyDescent="0.15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4.25" customHeight="1" x14ac:dyDescent="0.15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4.25" customHeight="1" x14ac:dyDescent="0.15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4.25" customHeight="1" x14ac:dyDescent="0.15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4.25" customHeight="1" x14ac:dyDescent="0.15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4.25" customHeight="1" x14ac:dyDescent="0.15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4.25" customHeight="1" x14ac:dyDescent="0.1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4.25" customHeight="1" x14ac:dyDescent="0.15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4.25" customHeight="1" x14ac:dyDescent="0.15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4.25" customHeight="1" x14ac:dyDescent="0.15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4.25" customHeight="1" x14ac:dyDescent="0.15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4.25" customHeight="1" x14ac:dyDescent="0.15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4.25" customHeight="1" x14ac:dyDescent="0.15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4.25" customHeight="1" x14ac:dyDescent="0.15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4.25" customHeight="1" x14ac:dyDescent="0.15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4.25" customHeight="1" x14ac:dyDescent="0.15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4.25" customHeight="1" x14ac:dyDescent="0.1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4.25" customHeight="1" x14ac:dyDescent="0.15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4.25" customHeight="1" x14ac:dyDescent="0.15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4.25" customHeight="1" x14ac:dyDescent="0.15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4.25" customHeight="1" x14ac:dyDescent="0.15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4.25" customHeight="1" x14ac:dyDescent="0.15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4.25" customHeight="1" x14ac:dyDescent="0.15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4.25" customHeight="1" x14ac:dyDescent="0.15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4.25" customHeight="1" x14ac:dyDescent="0.15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4.25" customHeight="1" x14ac:dyDescent="0.15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4.25" customHeight="1" x14ac:dyDescent="0.1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4.25" customHeight="1" x14ac:dyDescent="0.15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4.25" customHeight="1" x14ac:dyDescent="0.15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4.25" customHeight="1" x14ac:dyDescent="0.15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4.25" customHeight="1" x14ac:dyDescent="0.15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4.25" customHeight="1" x14ac:dyDescent="0.15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4.25" customHeight="1" x14ac:dyDescent="0.15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4.25" customHeight="1" x14ac:dyDescent="0.15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4.25" customHeight="1" x14ac:dyDescent="0.15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4.25" customHeight="1" x14ac:dyDescent="0.15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4.25" customHeight="1" x14ac:dyDescent="0.1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4.25" customHeight="1" x14ac:dyDescent="0.15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4.25" customHeight="1" x14ac:dyDescent="0.15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4.25" customHeight="1" x14ac:dyDescent="0.15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4.25" customHeight="1" x14ac:dyDescent="0.15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4.25" customHeight="1" x14ac:dyDescent="0.15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4.25" customHeight="1" x14ac:dyDescent="0.15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4.25" customHeight="1" x14ac:dyDescent="0.15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4.25" customHeight="1" x14ac:dyDescent="0.15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4.25" customHeight="1" x14ac:dyDescent="0.15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4.25" customHeight="1" x14ac:dyDescent="0.1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4.25" customHeight="1" x14ac:dyDescent="0.15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4.25" customHeight="1" x14ac:dyDescent="0.15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4.25" customHeight="1" x14ac:dyDescent="0.15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1:26" ht="14.25" customHeight="1" x14ac:dyDescent="0.15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1:26" ht="14.25" customHeight="1" x14ac:dyDescent="0.15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1:26" ht="14.25" customHeight="1" x14ac:dyDescent="0.15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1:26" ht="14.25" customHeight="1" x14ac:dyDescent="0.15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1:26" ht="14.25" customHeight="1" x14ac:dyDescent="0.15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1:26" ht="14.25" customHeight="1" x14ac:dyDescent="0.15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1:26" ht="14.25" customHeight="1" x14ac:dyDescent="0.1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1:26" ht="14.25" customHeight="1" x14ac:dyDescent="0.15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1:26" ht="14.25" customHeight="1" x14ac:dyDescent="0.15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1:26" ht="14.25" customHeight="1" x14ac:dyDescent="0.15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1:26" ht="14.25" customHeight="1" x14ac:dyDescent="0.15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1:26" ht="14.25" customHeight="1" x14ac:dyDescent="0.15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1:26" ht="14.25" customHeight="1" x14ac:dyDescent="0.15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1:26" ht="14.25" customHeight="1" x14ac:dyDescent="0.15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1:26" ht="14.25" customHeight="1" x14ac:dyDescent="0.15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1:26" ht="14.25" customHeight="1" x14ac:dyDescent="0.15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1:26" ht="14.25" customHeight="1" x14ac:dyDescent="0.1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1:26" ht="14.25" customHeight="1" x14ac:dyDescent="0.15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1:26" ht="14.25" customHeight="1" x14ac:dyDescent="0.15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1:26" ht="14.25" customHeight="1" x14ac:dyDescent="0.15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1:26" ht="14.25" customHeight="1" x14ac:dyDescent="0.15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1:26" ht="14.25" customHeight="1" x14ac:dyDescent="0.15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1:26" ht="14.25" customHeight="1" x14ac:dyDescent="0.15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1:26" ht="14.25" customHeight="1" x14ac:dyDescent="0.15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1:26" ht="14.25" customHeight="1" x14ac:dyDescent="0.15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1:26" ht="14.25" customHeight="1" x14ac:dyDescent="0.15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1:26" ht="14.25" customHeight="1" x14ac:dyDescent="0.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1:26" ht="14.25" customHeight="1" x14ac:dyDescent="0.15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1:26" ht="14.25" customHeight="1" x14ac:dyDescent="0.15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1:26" ht="14.25" customHeight="1" x14ac:dyDescent="0.15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1:26" ht="14.25" customHeight="1" x14ac:dyDescent="0.15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1:26" ht="14.25" customHeight="1" x14ac:dyDescent="0.15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1:26" ht="14.25" customHeight="1" x14ac:dyDescent="0.15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1:26" ht="14.25" customHeight="1" x14ac:dyDescent="0.15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1:26" ht="14.25" customHeight="1" x14ac:dyDescent="0.15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1:26" ht="14.25" customHeight="1" x14ac:dyDescent="0.15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1:26" ht="14.25" customHeight="1" x14ac:dyDescent="0.1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1:26" ht="14.25" customHeight="1" x14ac:dyDescent="0.15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1:26" ht="14.25" customHeight="1" x14ac:dyDescent="0.15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1:26" ht="14.25" customHeight="1" x14ac:dyDescent="0.15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1:26" ht="14.25" customHeight="1" x14ac:dyDescent="0.15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1:26" ht="14.25" customHeight="1" x14ac:dyDescent="0.15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1:26" ht="14.25" customHeight="1" x14ac:dyDescent="0.15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1:26" ht="14.25" customHeight="1" x14ac:dyDescent="0.15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1:26" ht="14.25" customHeight="1" x14ac:dyDescent="0.15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1:26" ht="14.25" customHeight="1" x14ac:dyDescent="0.15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1:26" ht="14.25" customHeight="1" x14ac:dyDescent="0.1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1:26" ht="14.25" customHeight="1" x14ac:dyDescent="0.15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1:26" ht="14.25" customHeight="1" x14ac:dyDescent="0.15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1:26" ht="14.25" customHeight="1" x14ac:dyDescent="0.15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1:26" ht="14.25" customHeight="1" x14ac:dyDescent="0.15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1:26" ht="14.25" customHeight="1" x14ac:dyDescent="0.15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1:26" ht="14.25" customHeight="1" x14ac:dyDescent="0.15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1:26" ht="14.25" customHeight="1" x14ac:dyDescent="0.15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1:26" ht="14.25" customHeight="1" x14ac:dyDescent="0.15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1:26" ht="14.25" customHeight="1" x14ac:dyDescent="0.15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1:26" ht="14.25" customHeight="1" x14ac:dyDescent="0.1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1:26" ht="14.25" customHeight="1" x14ac:dyDescent="0.15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1:26" ht="14.25" customHeight="1" x14ac:dyDescent="0.15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1:26" ht="14.25" customHeight="1" x14ac:dyDescent="0.15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1:26" ht="14.25" customHeight="1" x14ac:dyDescent="0.15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1:26" ht="14.25" customHeight="1" x14ac:dyDescent="0.15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1:26" ht="14.25" customHeight="1" x14ac:dyDescent="0.15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1:26" ht="14.25" customHeight="1" x14ac:dyDescent="0.15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1:26" ht="14.25" customHeight="1" x14ac:dyDescent="0.15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1:26" ht="14.25" customHeight="1" x14ac:dyDescent="0.15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1:26" ht="14.25" customHeight="1" x14ac:dyDescent="0.1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1:26" ht="14.25" customHeight="1" x14ac:dyDescent="0.15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1:26" ht="14.25" customHeight="1" x14ac:dyDescent="0.15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1:26" ht="14.25" customHeight="1" x14ac:dyDescent="0.15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1:26" ht="14.25" customHeight="1" x14ac:dyDescent="0.15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1:26" ht="14.25" customHeight="1" x14ac:dyDescent="0.15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1:26" ht="14.25" customHeight="1" x14ac:dyDescent="0.15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1:26" ht="14.25" customHeight="1" x14ac:dyDescent="0.15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1:26" ht="14.25" customHeight="1" x14ac:dyDescent="0.15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1:26" ht="14.25" customHeight="1" x14ac:dyDescent="0.15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1:26" ht="14.25" customHeight="1" x14ac:dyDescent="0.1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1:26" ht="14.25" customHeight="1" x14ac:dyDescent="0.15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1:26" ht="14.25" customHeight="1" x14ac:dyDescent="0.15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1:26" ht="14.25" customHeight="1" x14ac:dyDescent="0.15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1:26" ht="14.25" customHeight="1" x14ac:dyDescent="0.15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1:26" ht="14.25" customHeight="1" x14ac:dyDescent="0.15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1:26" ht="14.25" customHeight="1" x14ac:dyDescent="0.15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1:26" ht="14.25" customHeight="1" x14ac:dyDescent="0.15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1:26" ht="14.25" customHeight="1" x14ac:dyDescent="0.15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spans="1:26" ht="14.25" customHeight="1" x14ac:dyDescent="0.15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spans="1:26" ht="14.25" customHeight="1" x14ac:dyDescent="0.1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spans="1:26" ht="14.25" customHeight="1" x14ac:dyDescent="0.15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spans="1:26" ht="14.25" customHeight="1" x14ac:dyDescent="0.15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spans="1:26" ht="14.25" customHeight="1" x14ac:dyDescent="0.15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spans="1:26" ht="14.25" customHeight="1" x14ac:dyDescent="0.15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spans="1:26" ht="14.25" customHeight="1" x14ac:dyDescent="0.15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spans="1:26" ht="14.25" customHeight="1" x14ac:dyDescent="0.15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spans="1:26" ht="14.25" customHeight="1" x14ac:dyDescent="0.15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spans="1:26" ht="14.25" customHeight="1" x14ac:dyDescent="0.15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spans="1:26" ht="14.25" customHeight="1" x14ac:dyDescent="0.15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spans="1:26" ht="14.25" customHeight="1" x14ac:dyDescent="0.1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spans="1:26" ht="14.25" customHeight="1" x14ac:dyDescent="0.15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spans="1:26" ht="14.25" customHeight="1" x14ac:dyDescent="0.15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spans="1:26" ht="14.25" customHeight="1" x14ac:dyDescent="0.15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spans="1:26" ht="14.25" customHeight="1" x14ac:dyDescent="0.15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spans="1:26" ht="14.25" customHeight="1" x14ac:dyDescent="0.15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spans="1:26" ht="14.25" customHeight="1" x14ac:dyDescent="0.15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spans="1:26" ht="14.25" customHeight="1" x14ac:dyDescent="0.15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spans="1:26" ht="14.25" customHeight="1" x14ac:dyDescent="0.15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spans="1:26" ht="14.25" customHeight="1" x14ac:dyDescent="0.15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spans="1:26" ht="14.25" customHeight="1" x14ac:dyDescent="0.1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spans="1:26" ht="14.25" customHeight="1" x14ac:dyDescent="0.15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spans="1:26" ht="14.25" customHeight="1" x14ac:dyDescent="0.15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spans="1:26" ht="14.25" customHeight="1" x14ac:dyDescent="0.15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spans="1:26" ht="15.75" customHeight="1" x14ac:dyDescent="0.15"/>
    <row r="1000" spans="1:26" ht="15.75" customHeight="1" x14ac:dyDescent="0.15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000"/>
  <sheetViews>
    <sheetView workbookViewId="0">
      <selection activeCell="A77" sqref="A77"/>
    </sheetView>
  </sheetViews>
  <sheetFormatPr defaultColWidth="12.625" defaultRowHeight="15" customHeight="1" x14ac:dyDescent="0.15"/>
  <cols>
    <col min="1" max="1" width="9.8671875" customWidth="1"/>
    <col min="2" max="2" width="18.72265625" customWidth="1"/>
    <col min="3" max="3" width="14.8046875" customWidth="1"/>
    <col min="4" max="4" width="17.26953125" customWidth="1"/>
    <col min="5" max="5" width="14.22265625" customWidth="1"/>
    <col min="6" max="6" width="7.98046875" customWidth="1"/>
    <col min="7" max="25" width="7.69140625" customWidth="1"/>
  </cols>
  <sheetData>
    <row r="1" spans="1:25" ht="14.25" customHeight="1" x14ac:dyDescent="0.15">
      <c r="A1" s="70" t="s">
        <v>86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</row>
    <row r="2" spans="1:25" ht="14.25" customHeight="1" x14ac:dyDescent="0.15">
      <c r="A2" s="71" t="s">
        <v>87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</row>
    <row r="3" spans="1:25" ht="14.25" customHeight="1" x14ac:dyDescent="0.15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</row>
    <row r="4" spans="1:25" ht="14.25" customHeight="1" x14ac:dyDescent="0.15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</row>
    <row r="5" spans="1:25" ht="14.25" customHeight="1" x14ac:dyDescent="0.15">
      <c r="A5" s="70" t="s">
        <v>109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</row>
    <row r="6" spans="1:25" ht="14.25" customHeight="1" x14ac:dyDescent="0.15">
      <c r="A6" s="71" t="s">
        <v>110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</row>
    <row r="7" spans="1:25" ht="14.25" customHeight="1" x14ac:dyDescent="0.15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</row>
    <row r="8" spans="1:25" ht="14.25" customHeight="1" x14ac:dyDescent="0.15">
      <c r="A8" s="70" t="s">
        <v>90</v>
      </c>
      <c r="B8" s="70"/>
      <c r="C8" s="81">
        <v>950000</v>
      </c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</row>
    <row r="9" spans="1:25" ht="14.25" customHeight="1" x14ac:dyDescent="0.15">
      <c r="A9" s="70" t="s">
        <v>91</v>
      </c>
      <c r="B9" s="70"/>
      <c r="C9" s="82">
        <v>3.5000000000000003E-2</v>
      </c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</row>
    <row r="10" spans="1:25" ht="14.25" customHeight="1" x14ac:dyDescent="0.15">
      <c r="A10" s="70" t="s">
        <v>92</v>
      </c>
      <c r="B10" s="70"/>
      <c r="C10" s="83">
        <v>264</v>
      </c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</row>
    <row r="11" spans="1:25" ht="14.25" customHeight="1" x14ac:dyDescent="0.15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</row>
    <row r="12" spans="1:25" ht="14.25" customHeight="1" x14ac:dyDescent="0.15">
      <c r="A12" s="70" t="s">
        <v>111</v>
      </c>
      <c r="B12" s="70"/>
      <c r="C12" s="76">
        <f>C8/C10+C8*C9/12</f>
        <v>6369.318181818182</v>
      </c>
      <c r="D12" s="70" t="s">
        <v>94</v>
      </c>
      <c r="E12" s="76">
        <f>SUM(B19:B378)</f>
        <v>367135.41666666523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</row>
    <row r="13" spans="1:25" ht="14.25" customHeight="1" x14ac:dyDescent="0.15">
      <c r="A13" s="70" t="s">
        <v>95</v>
      </c>
      <c r="B13" s="70"/>
      <c r="C13" s="77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</row>
    <row r="14" spans="1:25" ht="14.25" customHeight="1" x14ac:dyDescent="0.15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</row>
    <row r="15" spans="1:25" ht="14.25" customHeight="1" x14ac:dyDescent="0.15">
      <c r="A15" s="70" t="s">
        <v>96</v>
      </c>
      <c r="B15" s="70" t="s">
        <v>97</v>
      </c>
      <c r="C15" s="70" t="s">
        <v>97</v>
      </c>
      <c r="D15" s="70" t="s">
        <v>98</v>
      </c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</row>
    <row r="16" spans="1:25" ht="14.25" customHeight="1" x14ac:dyDescent="0.15">
      <c r="A16" s="70" t="s">
        <v>99</v>
      </c>
      <c r="B16" s="70" t="s">
        <v>100</v>
      </c>
      <c r="C16" s="70" t="s">
        <v>101</v>
      </c>
      <c r="D16" s="70" t="s">
        <v>102</v>
      </c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</row>
    <row r="17" spans="1:25" ht="14.25" customHeight="1" x14ac:dyDescent="0.15">
      <c r="A17" s="70" t="s">
        <v>103</v>
      </c>
      <c r="B17" s="79" t="s">
        <v>104</v>
      </c>
      <c r="C17" s="79" t="s">
        <v>105</v>
      </c>
      <c r="D17" s="79" t="s">
        <v>106</v>
      </c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</row>
    <row r="18" spans="1:25" ht="14.25" customHeight="1" x14ac:dyDescent="0.15">
      <c r="A18" s="70" t="s">
        <v>107</v>
      </c>
      <c r="B18" s="70" t="s">
        <v>107</v>
      </c>
      <c r="C18" s="70" t="s">
        <v>107</v>
      </c>
      <c r="D18" s="70" t="s">
        <v>107</v>
      </c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</row>
    <row r="19" spans="1:25" ht="14.25" customHeight="1" x14ac:dyDescent="0.15">
      <c r="A19" s="70">
        <v>1</v>
      </c>
      <c r="B19" s="80">
        <f>C8*C9/12</f>
        <v>2770.8333333333335</v>
      </c>
      <c r="C19" s="76">
        <f t="shared" ref="C19:C378" si="0">$C$8/$C$10</f>
        <v>3598.4848484848485</v>
      </c>
      <c r="D19" s="76">
        <f>C8-C19</f>
        <v>946401.51515151514</v>
      </c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</row>
    <row r="20" spans="1:25" ht="14.25" customHeight="1" x14ac:dyDescent="0.15">
      <c r="A20" s="70">
        <v>2</v>
      </c>
      <c r="B20" s="80">
        <f t="shared" ref="B20:B378" si="1">IF(D19&lt;=0,"",D19*$C$9/12)</f>
        <v>2760.3377525252527</v>
      </c>
      <c r="C20" s="76">
        <f t="shared" si="0"/>
        <v>3598.4848484848485</v>
      </c>
      <c r="D20" s="76">
        <f t="shared" ref="D20:D378" si="2">D19-C20</f>
        <v>942803.03030303027</v>
      </c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</row>
    <row r="21" spans="1:25" ht="14.25" customHeight="1" x14ac:dyDescent="0.15">
      <c r="A21" s="70">
        <v>3</v>
      </c>
      <c r="B21" s="80">
        <f t="shared" si="1"/>
        <v>2749.8421717171718</v>
      </c>
      <c r="C21" s="76">
        <f t="shared" si="0"/>
        <v>3598.4848484848485</v>
      </c>
      <c r="D21" s="76">
        <f t="shared" si="2"/>
        <v>939204.54545454541</v>
      </c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</row>
    <row r="22" spans="1:25" ht="14.25" customHeight="1" x14ac:dyDescent="0.15">
      <c r="A22" s="70">
        <v>4</v>
      </c>
      <c r="B22" s="80">
        <f t="shared" si="1"/>
        <v>2739.3465909090914</v>
      </c>
      <c r="C22" s="76">
        <f t="shared" si="0"/>
        <v>3598.4848484848485</v>
      </c>
      <c r="D22" s="76">
        <f t="shared" si="2"/>
        <v>935606.06060606055</v>
      </c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</row>
    <row r="23" spans="1:25" ht="14.25" customHeight="1" x14ac:dyDescent="0.15">
      <c r="A23" s="70">
        <v>5</v>
      </c>
      <c r="B23" s="80">
        <f t="shared" si="1"/>
        <v>2728.8510101010102</v>
      </c>
      <c r="C23" s="76">
        <f t="shared" si="0"/>
        <v>3598.4848484848485</v>
      </c>
      <c r="D23" s="76">
        <f t="shared" si="2"/>
        <v>932007.57575757569</v>
      </c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spans="1:25" ht="14.25" customHeight="1" x14ac:dyDescent="0.15">
      <c r="A24" s="70">
        <v>6</v>
      </c>
      <c r="B24" s="80">
        <f t="shared" si="1"/>
        <v>2718.3554292929293</v>
      </c>
      <c r="C24" s="76">
        <f t="shared" si="0"/>
        <v>3598.4848484848485</v>
      </c>
      <c r="D24" s="76">
        <f t="shared" si="2"/>
        <v>928409.09090909082</v>
      </c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</row>
    <row r="25" spans="1:25" ht="14.25" customHeight="1" x14ac:dyDescent="0.15">
      <c r="A25" s="70">
        <v>7</v>
      </c>
      <c r="B25" s="80">
        <f t="shared" si="1"/>
        <v>2707.8598484848485</v>
      </c>
      <c r="C25" s="76">
        <f t="shared" si="0"/>
        <v>3598.4848484848485</v>
      </c>
      <c r="D25" s="76">
        <f t="shared" si="2"/>
        <v>924810.60606060596</v>
      </c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spans="1:25" ht="14.25" customHeight="1" x14ac:dyDescent="0.15">
      <c r="A26" s="70">
        <v>8</v>
      </c>
      <c r="B26" s="80">
        <f t="shared" si="1"/>
        <v>2697.3642676767677</v>
      </c>
      <c r="C26" s="76">
        <f t="shared" si="0"/>
        <v>3598.4848484848485</v>
      </c>
      <c r="D26" s="76">
        <f t="shared" si="2"/>
        <v>921212.1212121211</v>
      </c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</row>
    <row r="27" spans="1:25" ht="14.25" customHeight="1" x14ac:dyDescent="0.15">
      <c r="A27" s="70">
        <v>9</v>
      </c>
      <c r="B27" s="80">
        <f t="shared" si="1"/>
        <v>2686.8686868686868</v>
      </c>
      <c r="C27" s="76">
        <f t="shared" si="0"/>
        <v>3598.4848484848485</v>
      </c>
      <c r="D27" s="76">
        <f t="shared" si="2"/>
        <v>917613.63636363624</v>
      </c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</row>
    <row r="28" spans="1:25" ht="14.25" customHeight="1" x14ac:dyDescent="0.15">
      <c r="A28" s="70">
        <v>10</v>
      </c>
      <c r="B28" s="80">
        <f t="shared" si="1"/>
        <v>2676.373106060606</v>
      </c>
      <c r="C28" s="76">
        <f t="shared" si="0"/>
        <v>3598.4848484848485</v>
      </c>
      <c r="D28" s="76">
        <f t="shared" si="2"/>
        <v>914015.15151515137</v>
      </c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</row>
    <row r="29" spans="1:25" ht="14.25" customHeight="1" x14ac:dyDescent="0.15">
      <c r="A29" s="70">
        <v>11</v>
      </c>
      <c r="B29" s="80">
        <f t="shared" si="1"/>
        <v>2665.8775252525252</v>
      </c>
      <c r="C29" s="76">
        <f t="shared" si="0"/>
        <v>3598.4848484848485</v>
      </c>
      <c r="D29" s="76">
        <f t="shared" si="2"/>
        <v>910416.66666666651</v>
      </c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</row>
    <row r="30" spans="1:25" ht="14.25" customHeight="1" x14ac:dyDescent="0.15">
      <c r="A30" s="70">
        <v>12</v>
      </c>
      <c r="B30" s="80">
        <f t="shared" si="1"/>
        <v>2655.3819444444443</v>
      </c>
      <c r="C30" s="76">
        <f t="shared" si="0"/>
        <v>3598.4848484848485</v>
      </c>
      <c r="D30" s="76">
        <f t="shared" si="2"/>
        <v>906818.18181818165</v>
      </c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</row>
    <row r="31" spans="1:25" ht="14.25" customHeight="1" x14ac:dyDescent="0.15">
      <c r="A31" s="70">
        <v>13</v>
      </c>
      <c r="B31" s="80">
        <f t="shared" si="1"/>
        <v>2644.8863636363635</v>
      </c>
      <c r="C31" s="76">
        <f t="shared" si="0"/>
        <v>3598.4848484848485</v>
      </c>
      <c r="D31" s="76">
        <f t="shared" si="2"/>
        <v>903219.69696969679</v>
      </c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</row>
    <row r="32" spans="1:25" ht="14.25" customHeight="1" x14ac:dyDescent="0.15">
      <c r="A32" s="70">
        <v>14</v>
      </c>
      <c r="B32" s="80">
        <f t="shared" si="1"/>
        <v>2634.3907828282827</v>
      </c>
      <c r="C32" s="76">
        <f t="shared" si="0"/>
        <v>3598.4848484848485</v>
      </c>
      <c r="D32" s="76">
        <f t="shared" si="2"/>
        <v>899621.21212121192</v>
      </c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</row>
    <row r="33" spans="1:25" ht="14.25" customHeight="1" x14ac:dyDescent="0.15">
      <c r="A33" s="70">
        <v>15</v>
      </c>
      <c r="B33" s="80">
        <f t="shared" si="1"/>
        <v>2623.8952020202019</v>
      </c>
      <c r="C33" s="76">
        <f t="shared" si="0"/>
        <v>3598.4848484848485</v>
      </c>
      <c r="D33" s="76">
        <f t="shared" si="2"/>
        <v>896022.72727272706</v>
      </c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</row>
    <row r="34" spans="1:25" ht="14.25" customHeight="1" x14ac:dyDescent="0.15">
      <c r="A34" s="70">
        <v>16</v>
      </c>
      <c r="B34" s="80">
        <f t="shared" si="1"/>
        <v>2613.3996212121206</v>
      </c>
      <c r="C34" s="76">
        <f t="shared" si="0"/>
        <v>3598.4848484848485</v>
      </c>
      <c r="D34" s="76">
        <f t="shared" si="2"/>
        <v>892424.2424242422</v>
      </c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</row>
    <row r="35" spans="1:25" ht="14.25" customHeight="1" x14ac:dyDescent="0.15">
      <c r="A35" s="70">
        <v>17</v>
      </c>
      <c r="B35" s="80">
        <f t="shared" si="1"/>
        <v>2602.9040404040402</v>
      </c>
      <c r="C35" s="76">
        <f t="shared" si="0"/>
        <v>3598.4848484848485</v>
      </c>
      <c r="D35" s="76">
        <f t="shared" si="2"/>
        <v>888825.75757575734</v>
      </c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</row>
    <row r="36" spans="1:25" ht="14.25" customHeight="1" x14ac:dyDescent="0.15">
      <c r="A36" s="70">
        <v>18</v>
      </c>
      <c r="B36" s="80">
        <f t="shared" si="1"/>
        <v>2592.4084595959589</v>
      </c>
      <c r="C36" s="76">
        <f t="shared" si="0"/>
        <v>3598.4848484848485</v>
      </c>
      <c r="D36" s="76">
        <f t="shared" si="2"/>
        <v>885227.27272727247</v>
      </c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</row>
    <row r="37" spans="1:25" ht="14.25" customHeight="1" x14ac:dyDescent="0.15">
      <c r="A37" s="70">
        <v>19</v>
      </c>
      <c r="B37" s="80">
        <f t="shared" si="1"/>
        <v>2581.9128787878785</v>
      </c>
      <c r="C37" s="76">
        <f t="shared" si="0"/>
        <v>3598.4848484848485</v>
      </c>
      <c r="D37" s="76">
        <f t="shared" si="2"/>
        <v>881628.78787878761</v>
      </c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</row>
    <row r="38" spans="1:25" ht="14.25" customHeight="1" x14ac:dyDescent="0.15">
      <c r="A38" s="70">
        <v>20</v>
      </c>
      <c r="B38" s="80">
        <f t="shared" si="1"/>
        <v>2571.4172979797972</v>
      </c>
      <c r="C38" s="76">
        <f t="shared" si="0"/>
        <v>3598.4848484848485</v>
      </c>
      <c r="D38" s="76">
        <f t="shared" si="2"/>
        <v>878030.30303030275</v>
      </c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</row>
    <row r="39" spans="1:25" ht="14.25" customHeight="1" x14ac:dyDescent="0.15">
      <c r="A39" s="70">
        <v>21</v>
      </c>
      <c r="B39" s="80">
        <f t="shared" si="1"/>
        <v>2560.9217171717169</v>
      </c>
      <c r="C39" s="76">
        <f t="shared" si="0"/>
        <v>3598.4848484848485</v>
      </c>
      <c r="D39" s="76">
        <f t="shared" si="2"/>
        <v>874431.81818181789</v>
      </c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</row>
    <row r="40" spans="1:25" ht="14.25" customHeight="1" x14ac:dyDescent="0.15">
      <c r="A40" s="70">
        <v>22</v>
      </c>
      <c r="B40" s="80">
        <f t="shared" si="1"/>
        <v>2550.4261363636356</v>
      </c>
      <c r="C40" s="76">
        <f t="shared" si="0"/>
        <v>3598.4848484848485</v>
      </c>
      <c r="D40" s="76">
        <f t="shared" si="2"/>
        <v>870833.33333333302</v>
      </c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</row>
    <row r="41" spans="1:25" ht="14.25" customHeight="1" x14ac:dyDescent="0.15">
      <c r="A41" s="70">
        <v>23</v>
      </c>
      <c r="B41" s="80">
        <f t="shared" si="1"/>
        <v>2539.9305555555547</v>
      </c>
      <c r="C41" s="76">
        <f t="shared" si="0"/>
        <v>3598.4848484848485</v>
      </c>
      <c r="D41" s="76">
        <f t="shared" si="2"/>
        <v>867234.84848484816</v>
      </c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</row>
    <row r="42" spans="1:25" ht="14.25" customHeight="1" x14ac:dyDescent="0.15">
      <c r="A42" s="70">
        <v>24</v>
      </c>
      <c r="B42" s="80">
        <f t="shared" si="1"/>
        <v>2529.4349747474739</v>
      </c>
      <c r="C42" s="76">
        <f t="shared" si="0"/>
        <v>3598.4848484848485</v>
      </c>
      <c r="D42" s="76">
        <f t="shared" si="2"/>
        <v>863636.3636363633</v>
      </c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</row>
    <row r="43" spans="1:25" ht="14.25" customHeight="1" x14ac:dyDescent="0.15">
      <c r="A43" s="70">
        <v>25</v>
      </c>
      <c r="B43" s="80">
        <f t="shared" si="1"/>
        <v>2518.9393939393931</v>
      </c>
      <c r="C43" s="76">
        <f t="shared" si="0"/>
        <v>3598.4848484848485</v>
      </c>
      <c r="D43" s="76">
        <f t="shared" si="2"/>
        <v>860037.87878787844</v>
      </c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</row>
    <row r="44" spans="1:25" ht="14.25" customHeight="1" x14ac:dyDescent="0.15">
      <c r="A44" s="70">
        <v>26</v>
      </c>
      <c r="B44" s="80">
        <f t="shared" si="1"/>
        <v>2508.4438131313123</v>
      </c>
      <c r="C44" s="76">
        <f t="shared" si="0"/>
        <v>3598.4848484848485</v>
      </c>
      <c r="D44" s="76">
        <f t="shared" si="2"/>
        <v>856439.39393939357</v>
      </c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</row>
    <row r="45" spans="1:25" ht="14.25" customHeight="1" x14ac:dyDescent="0.15">
      <c r="A45" s="70">
        <v>27</v>
      </c>
      <c r="B45" s="80">
        <f t="shared" si="1"/>
        <v>2497.9482323232314</v>
      </c>
      <c r="C45" s="76">
        <f t="shared" si="0"/>
        <v>3598.4848484848485</v>
      </c>
      <c r="D45" s="76">
        <f t="shared" si="2"/>
        <v>852840.90909090871</v>
      </c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</row>
    <row r="46" spans="1:25" ht="14.25" customHeight="1" x14ac:dyDescent="0.15">
      <c r="A46" s="70">
        <v>28</v>
      </c>
      <c r="B46" s="80">
        <f t="shared" si="1"/>
        <v>2487.4526515151506</v>
      </c>
      <c r="C46" s="76">
        <f t="shared" si="0"/>
        <v>3598.4848484848485</v>
      </c>
      <c r="D46" s="76">
        <f t="shared" si="2"/>
        <v>849242.42424242385</v>
      </c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</row>
    <row r="47" spans="1:25" ht="14.25" customHeight="1" x14ac:dyDescent="0.15">
      <c r="A47" s="70">
        <v>29</v>
      </c>
      <c r="B47" s="80">
        <f t="shared" si="1"/>
        <v>2476.9570707070698</v>
      </c>
      <c r="C47" s="76">
        <f t="shared" si="0"/>
        <v>3598.4848484848485</v>
      </c>
      <c r="D47" s="76">
        <f t="shared" si="2"/>
        <v>845643.93939393898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</row>
    <row r="48" spans="1:25" ht="14.25" customHeight="1" x14ac:dyDescent="0.15">
      <c r="A48" s="70">
        <v>30</v>
      </c>
      <c r="B48" s="80">
        <f t="shared" si="1"/>
        <v>2466.4614898989889</v>
      </c>
      <c r="C48" s="76">
        <f t="shared" si="0"/>
        <v>3598.4848484848485</v>
      </c>
      <c r="D48" s="76">
        <f t="shared" si="2"/>
        <v>842045.45454545412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</row>
    <row r="49" spans="1:25" ht="14.25" customHeight="1" x14ac:dyDescent="0.15">
      <c r="A49" s="70">
        <v>31</v>
      </c>
      <c r="B49" s="80">
        <f t="shared" si="1"/>
        <v>2455.9659090909081</v>
      </c>
      <c r="C49" s="76">
        <f t="shared" si="0"/>
        <v>3598.4848484848485</v>
      </c>
      <c r="D49" s="76">
        <f t="shared" si="2"/>
        <v>838446.96969696926</v>
      </c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</row>
    <row r="50" spans="1:25" ht="14.25" customHeight="1" x14ac:dyDescent="0.15">
      <c r="A50" s="70">
        <v>32</v>
      </c>
      <c r="B50" s="80">
        <f t="shared" si="1"/>
        <v>2445.4703282828273</v>
      </c>
      <c r="C50" s="76">
        <f t="shared" si="0"/>
        <v>3598.4848484848485</v>
      </c>
      <c r="D50" s="76">
        <f t="shared" si="2"/>
        <v>834848.4848484844</v>
      </c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</row>
    <row r="51" spans="1:25" ht="14.25" customHeight="1" x14ac:dyDescent="0.15">
      <c r="A51" s="70">
        <v>33</v>
      </c>
      <c r="B51" s="80">
        <f t="shared" si="1"/>
        <v>2434.9747474747464</v>
      </c>
      <c r="C51" s="76">
        <f t="shared" si="0"/>
        <v>3598.4848484848485</v>
      </c>
      <c r="D51" s="76">
        <f t="shared" si="2"/>
        <v>831249.99999999953</v>
      </c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</row>
    <row r="52" spans="1:25" ht="14.25" customHeight="1" x14ac:dyDescent="0.15">
      <c r="A52" s="70">
        <v>34</v>
      </c>
      <c r="B52" s="80">
        <f t="shared" si="1"/>
        <v>2424.4791666666656</v>
      </c>
      <c r="C52" s="76">
        <f t="shared" si="0"/>
        <v>3598.4848484848485</v>
      </c>
      <c r="D52" s="76">
        <f t="shared" si="2"/>
        <v>827651.51515151467</v>
      </c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</row>
    <row r="53" spans="1:25" ht="14.25" customHeight="1" x14ac:dyDescent="0.15">
      <c r="A53" s="70">
        <v>35</v>
      </c>
      <c r="B53" s="80">
        <f t="shared" si="1"/>
        <v>2413.9835858585848</v>
      </c>
      <c r="C53" s="76">
        <f t="shared" si="0"/>
        <v>3598.4848484848485</v>
      </c>
      <c r="D53" s="76">
        <f t="shared" si="2"/>
        <v>824053.03030302981</v>
      </c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</row>
    <row r="54" spans="1:25" ht="14.25" customHeight="1" x14ac:dyDescent="0.15">
      <c r="A54" s="70">
        <v>36</v>
      </c>
      <c r="B54" s="80">
        <f t="shared" si="1"/>
        <v>2403.4880050505039</v>
      </c>
      <c r="C54" s="76">
        <f t="shared" si="0"/>
        <v>3598.4848484848485</v>
      </c>
      <c r="D54" s="76">
        <f t="shared" si="2"/>
        <v>820454.54545454495</v>
      </c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</row>
    <row r="55" spans="1:25" ht="14.25" customHeight="1" x14ac:dyDescent="0.15">
      <c r="A55" s="70">
        <v>37</v>
      </c>
      <c r="B55" s="80">
        <f t="shared" si="1"/>
        <v>2392.9924242424231</v>
      </c>
      <c r="C55" s="76">
        <f t="shared" si="0"/>
        <v>3598.4848484848485</v>
      </c>
      <c r="D55" s="76">
        <f t="shared" si="2"/>
        <v>816856.06060606008</v>
      </c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</row>
    <row r="56" spans="1:25" ht="14.25" customHeight="1" x14ac:dyDescent="0.15">
      <c r="A56" s="70">
        <v>38</v>
      </c>
      <c r="B56" s="80">
        <f t="shared" si="1"/>
        <v>2382.4968434343423</v>
      </c>
      <c r="C56" s="76">
        <f t="shared" si="0"/>
        <v>3598.4848484848485</v>
      </c>
      <c r="D56" s="76">
        <f t="shared" si="2"/>
        <v>813257.57575757522</v>
      </c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</row>
    <row r="57" spans="1:25" ht="14.25" customHeight="1" x14ac:dyDescent="0.15">
      <c r="A57" s="70">
        <v>39</v>
      </c>
      <c r="B57" s="80">
        <f t="shared" si="1"/>
        <v>2372.001262626261</v>
      </c>
      <c r="C57" s="76">
        <f t="shared" si="0"/>
        <v>3598.4848484848485</v>
      </c>
      <c r="D57" s="76">
        <f t="shared" si="2"/>
        <v>809659.09090909036</v>
      </c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</row>
    <row r="58" spans="1:25" ht="14.25" customHeight="1" x14ac:dyDescent="0.15">
      <c r="A58" s="70">
        <v>40</v>
      </c>
      <c r="B58" s="80">
        <f t="shared" si="1"/>
        <v>2361.5056818181806</v>
      </c>
      <c r="C58" s="76">
        <f t="shared" si="0"/>
        <v>3598.4848484848485</v>
      </c>
      <c r="D58" s="76">
        <f t="shared" si="2"/>
        <v>806060.6060606055</v>
      </c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</row>
    <row r="59" spans="1:25" ht="14.25" customHeight="1" x14ac:dyDescent="0.15">
      <c r="A59" s="70">
        <v>41</v>
      </c>
      <c r="B59" s="80">
        <f t="shared" si="1"/>
        <v>2351.0101010100993</v>
      </c>
      <c r="C59" s="76">
        <f t="shared" si="0"/>
        <v>3598.4848484848485</v>
      </c>
      <c r="D59" s="76">
        <f t="shared" si="2"/>
        <v>802462.12121212063</v>
      </c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</row>
    <row r="60" spans="1:25" ht="14.25" customHeight="1" x14ac:dyDescent="0.15">
      <c r="A60" s="70">
        <v>42</v>
      </c>
      <c r="B60" s="80">
        <f t="shared" si="1"/>
        <v>2340.514520202019</v>
      </c>
      <c r="C60" s="76">
        <f t="shared" si="0"/>
        <v>3598.4848484848485</v>
      </c>
      <c r="D60" s="76">
        <f t="shared" si="2"/>
        <v>798863.63636363577</v>
      </c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</row>
    <row r="61" spans="1:25" ht="14.25" customHeight="1" x14ac:dyDescent="0.15">
      <c r="A61" s="70">
        <v>43</v>
      </c>
      <c r="B61" s="80">
        <f t="shared" si="1"/>
        <v>2330.0189393939377</v>
      </c>
      <c r="C61" s="76">
        <f t="shared" si="0"/>
        <v>3598.4848484848485</v>
      </c>
      <c r="D61" s="76">
        <f t="shared" si="2"/>
        <v>795265.15151515091</v>
      </c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</row>
    <row r="62" spans="1:25" ht="14.25" customHeight="1" x14ac:dyDescent="0.15">
      <c r="A62" s="70">
        <v>44</v>
      </c>
      <c r="B62" s="80">
        <f t="shared" si="1"/>
        <v>2319.5233585858573</v>
      </c>
      <c r="C62" s="76">
        <f t="shared" si="0"/>
        <v>3598.4848484848485</v>
      </c>
      <c r="D62" s="76">
        <f t="shared" si="2"/>
        <v>791666.66666666605</v>
      </c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</row>
    <row r="63" spans="1:25" ht="14.25" customHeight="1" x14ac:dyDescent="0.15">
      <c r="A63" s="70">
        <v>45</v>
      </c>
      <c r="B63" s="80">
        <f t="shared" si="1"/>
        <v>2309.027777777776</v>
      </c>
      <c r="C63" s="76">
        <f t="shared" si="0"/>
        <v>3598.4848484848485</v>
      </c>
      <c r="D63" s="76">
        <f t="shared" si="2"/>
        <v>788068.18181818118</v>
      </c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</row>
    <row r="64" spans="1:25" ht="14.25" customHeight="1" x14ac:dyDescent="0.15">
      <c r="A64" s="70">
        <v>46</v>
      </c>
      <c r="B64" s="80">
        <f t="shared" si="1"/>
        <v>2298.5321969696956</v>
      </c>
      <c r="C64" s="76">
        <f t="shared" si="0"/>
        <v>3598.4848484848485</v>
      </c>
      <c r="D64" s="76">
        <f t="shared" si="2"/>
        <v>784469.69696969632</v>
      </c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</row>
    <row r="65" spans="1:25" ht="14.25" customHeight="1" x14ac:dyDescent="0.15">
      <c r="A65" s="70">
        <v>47</v>
      </c>
      <c r="B65" s="80">
        <f t="shared" si="1"/>
        <v>2288.0366161616143</v>
      </c>
      <c r="C65" s="76">
        <f t="shared" si="0"/>
        <v>3598.4848484848485</v>
      </c>
      <c r="D65" s="76">
        <f t="shared" si="2"/>
        <v>780871.21212121146</v>
      </c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</row>
    <row r="66" spans="1:25" ht="14.25" customHeight="1" x14ac:dyDescent="0.15">
      <c r="A66" s="70">
        <v>48</v>
      </c>
      <c r="B66" s="80">
        <f t="shared" si="1"/>
        <v>2277.5410353535335</v>
      </c>
      <c r="C66" s="76">
        <f t="shared" si="0"/>
        <v>3598.4848484848485</v>
      </c>
      <c r="D66" s="76">
        <f t="shared" si="2"/>
        <v>777272.7272727266</v>
      </c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</row>
    <row r="67" spans="1:25" ht="14.25" customHeight="1" x14ac:dyDescent="0.15">
      <c r="A67" s="70">
        <v>49</v>
      </c>
      <c r="B67" s="80">
        <f t="shared" si="1"/>
        <v>2267.0454545454527</v>
      </c>
      <c r="C67" s="76">
        <f t="shared" si="0"/>
        <v>3598.4848484848485</v>
      </c>
      <c r="D67" s="76">
        <f t="shared" si="2"/>
        <v>773674.24242424173</v>
      </c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</row>
    <row r="68" spans="1:25" ht="14.25" customHeight="1" x14ac:dyDescent="0.15">
      <c r="A68" s="70">
        <v>50</v>
      </c>
      <c r="B68" s="80">
        <f t="shared" si="1"/>
        <v>2256.5498737373719</v>
      </c>
      <c r="C68" s="76">
        <f t="shared" si="0"/>
        <v>3598.4848484848485</v>
      </c>
      <c r="D68" s="76">
        <f t="shared" si="2"/>
        <v>770075.75757575687</v>
      </c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</row>
    <row r="69" spans="1:25" ht="14.25" customHeight="1" x14ac:dyDescent="0.15">
      <c r="A69" s="70">
        <v>51</v>
      </c>
      <c r="B69" s="80">
        <f t="shared" si="1"/>
        <v>2246.054292929291</v>
      </c>
      <c r="C69" s="76">
        <f t="shared" si="0"/>
        <v>3598.4848484848485</v>
      </c>
      <c r="D69" s="76">
        <f t="shared" si="2"/>
        <v>766477.27272727201</v>
      </c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</row>
    <row r="70" spans="1:25" ht="14.25" customHeight="1" x14ac:dyDescent="0.15">
      <c r="A70" s="70">
        <v>52</v>
      </c>
      <c r="B70" s="80">
        <f t="shared" si="1"/>
        <v>2235.5587121212102</v>
      </c>
      <c r="C70" s="76">
        <f t="shared" si="0"/>
        <v>3598.4848484848485</v>
      </c>
      <c r="D70" s="76">
        <f t="shared" si="2"/>
        <v>762878.78787878715</v>
      </c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</row>
    <row r="71" spans="1:25" ht="14.25" customHeight="1" x14ac:dyDescent="0.15">
      <c r="A71" s="70">
        <v>53</v>
      </c>
      <c r="B71" s="80">
        <f t="shared" si="1"/>
        <v>2225.0631313131294</v>
      </c>
      <c r="C71" s="76">
        <f t="shared" si="0"/>
        <v>3598.4848484848485</v>
      </c>
      <c r="D71" s="76">
        <f t="shared" si="2"/>
        <v>759280.30303030228</v>
      </c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</row>
    <row r="72" spans="1:25" ht="14.25" customHeight="1" x14ac:dyDescent="0.15">
      <c r="A72" s="70">
        <v>54</v>
      </c>
      <c r="B72" s="80">
        <f t="shared" si="1"/>
        <v>2214.5675505050485</v>
      </c>
      <c r="C72" s="76">
        <f t="shared" si="0"/>
        <v>3598.4848484848485</v>
      </c>
      <c r="D72" s="76">
        <f t="shared" si="2"/>
        <v>755681.81818181742</v>
      </c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</row>
    <row r="73" spans="1:25" ht="14.25" customHeight="1" x14ac:dyDescent="0.15">
      <c r="A73" s="70">
        <v>55</v>
      </c>
      <c r="B73" s="80">
        <f t="shared" si="1"/>
        <v>2204.0719696969677</v>
      </c>
      <c r="C73" s="76">
        <f t="shared" si="0"/>
        <v>3598.4848484848485</v>
      </c>
      <c r="D73" s="76">
        <f t="shared" si="2"/>
        <v>752083.33333333256</v>
      </c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</row>
    <row r="74" spans="1:25" ht="14.25" customHeight="1" x14ac:dyDescent="0.15">
      <c r="A74" s="70">
        <v>56</v>
      </c>
      <c r="B74" s="80">
        <f t="shared" si="1"/>
        <v>2193.5763888888869</v>
      </c>
      <c r="C74" s="76">
        <f t="shared" si="0"/>
        <v>3598.4848484848485</v>
      </c>
      <c r="D74" s="76">
        <f t="shared" si="2"/>
        <v>748484.84848484769</v>
      </c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</row>
    <row r="75" spans="1:25" ht="14.25" customHeight="1" x14ac:dyDescent="0.15">
      <c r="A75" s="70">
        <v>57</v>
      </c>
      <c r="B75" s="80">
        <f t="shared" si="1"/>
        <v>2183.080808080806</v>
      </c>
      <c r="C75" s="76">
        <f t="shared" si="0"/>
        <v>3598.4848484848485</v>
      </c>
      <c r="D75" s="76">
        <f t="shared" si="2"/>
        <v>744886.36363636283</v>
      </c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</row>
    <row r="76" spans="1:25" ht="14.25" customHeight="1" x14ac:dyDescent="0.15">
      <c r="A76" s="70">
        <v>58</v>
      </c>
      <c r="B76" s="80">
        <f t="shared" si="1"/>
        <v>2172.5852272727252</v>
      </c>
      <c r="C76" s="76">
        <f t="shared" si="0"/>
        <v>3598.4848484848485</v>
      </c>
      <c r="D76" s="76">
        <f t="shared" si="2"/>
        <v>741287.87878787797</v>
      </c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</row>
    <row r="77" spans="1:25" ht="14.25" customHeight="1" x14ac:dyDescent="0.15">
      <c r="A77" s="70">
        <v>59</v>
      </c>
      <c r="B77" s="80">
        <f t="shared" si="1"/>
        <v>2162.0896464646444</v>
      </c>
      <c r="C77" s="76">
        <f t="shared" si="0"/>
        <v>3598.4848484848485</v>
      </c>
      <c r="D77" s="76">
        <f t="shared" si="2"/>
        <v>737689.39393939311</v>
      </c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</row>
    <row r="78" spans="1:25" ht="14.25" customHeight="1" x14ac:dyDescent="0.15">
      <c r="A78" s="70">
        <v>60</v>
      </c>
      <c r="B78" s="80">
        <f t="shared" si="1"/>
        <v>2151.5940656565635</v>
      </c>
      <c r="C78" s="76">
        <f t="shared" si="0"/>
        <v>3598.4848484848485</v>
      </c>
      <c r="D78" s="76">
        <f t="shared" si="2"/>
        <v>734090.90909090824</v>
      </c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</row>
    <row r="79" spans="1:25" ht="14.25" customHeight="1" x14ac:dyDescent="0.15">
      <c r="A79" s="70">
        <v>61</v>
      </c>
      <c r="B79" s="80">
        <f t="shared" si="1"/>
        <v>2141.0984848484827</v>
      </c>
      <c r="C79" s="76">
        <f t="shared" si="0"/>
        <v>3598.4848484848485</v>
      </c>
      <c r="D79" s="76">
        <f t="shared" si="2"/>
        <v>730492.42424242338</v>
      </c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</row>
    <row r="80" spans="1:25" ht="14.25" customHeight="1" x14ac:dyDescent="0.15">
      <c r="A80" s="70">
        <v>62</v>
      </c>
      <c r="B80" s="80">
        <f t="shared" si="1"/>
        <v>2130.6029040404019</v>
      </c>
      <c r="C80" s="76">
        <f t="shared" si="0"/>
        <v>3598.4848484848485</v>
      </c>
      <c r="D80" s="76">
        <f t="shared" si="2"/>
        <v>726893.93939393852</v>
      </c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</row>
    <row r="81" spans="1:25" ht="14.25" customHeight="1" x14ac:dyDescent="0.15">
      <c r="A81" s="70">
        <v>63</v>
      </c>
      <c r="B81" s="80">
        <f t="shared" si="1"/>
        <v>2120.1073232323211</v>
      </c>
      <c r="C81" s="76">
        <f t="shared" si="0"/>
        <v>3598.4848484848485</v>
      </c>
      <c r="D81" s="76">
        <f t="shared" si="2"/>
        <v>723295.45454545366</v>
      </c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</row>
    <row r="82" spans="1:25" ht="14.25" customHeight="1" x14ac:dyDescent="0.15">
      <c r="A82" s="70">
        <v>64</v>
      </c>
      <c r="B82" s="80">
        <f t="shared" si="1"/>
        <v>2109.6117424242398</v>
      </c>
      <c r="C82" s="76">
        <f t="shared" si="0"/>
        <v>3598.4848484848485</v>
      </c>
      <c r="D82" s="76">
        <f t="shared" si="2"/>
        <v>719696.96969696879</v>
      </c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</row>
    <row r="83" spans="1:25" ht="14.25" customHeight="1" x14ac:dyDescent="0.15">
      <c r="A83" s="70">
        <v>65</v>
      </c>
      <c r="B83" s="80">
        <f t="shared" si="1"/>
        <v>2099.1161616161594</v>
      </c>
      <c r="C83" s="76">
        <f t="shared" si="0"/>
        <v>3598.4848484848485</v>
      </c>
      <c r="D83" s="76">
        <f t="shared" si="2"/>
        <v>716098.48484848393</v>
      </c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</row>
    <row r="84" spans="1:25" ht="14.25" customHeight="1" x14ac:dyDescent="0.15">
      <c r="A84" s="70">
        <v>66</v>
      </c>
      <c r="B84" s="80">
        <f t="shared" si="1"/>
        <v>2088.6205808080781</v>
      </c>
      <c r="C84" s="76">
        <f t="shared" si="0"/>
        <v>3598.4848484848485</v>
      </c>
      <c r="D84" s="76">
        <f t="shared" si="2"/>
        <v>712499.99999999907</v>
      </c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</row>
    <row r="85" spans="1:25" ht="14.25" customHeight="1" x14ac:dyDescent="0.15">
      <c r="A85" s="70">
        <v>67</v>
      </c>
      <c r="B85" s="80">
        <f t="shared" si="1"/>
        <v>2078.1249999999977</v>
      </c>
      <c r="C85" s="76">
        <f t="shared" si="0"/>
        <v>3598.4848484848485</v>
      </c>
      <c r="D85" s="76">
        <f t="shared" si="2"/>
        <v>708901.51515151421</v>
      </c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</row>
    <row r="86" spans="1:25" ht="14.25" customHeight="1" x14ac:dyDescent="0.15">
      <c r="A86" s="70">
        <v>68</v>
      </c>
      <c r="B86" s="80">
        <f t="shared" si="1"/>
        <v>2067.6294191919164</v>
      </c>
      <c r="C86" s="76">
        <f t="shared" si="0"/>
        <v>3598.4848484848485</v>
      </c>
      <c r="D86" s="76">
        <f t="shared" si="2"/>
        <v>705303.03030302934</v>
      </c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</row>
    <row r="87" spans="1:25" ht="14.25" customHeight="1" x14ac:dyDescent="0.15">
      <c r="A87" s="70">
        <v>69</v>
      </c>
      <c r="B87" s="80">
        <f t="shared" si="1"/>
        <v>2057.1338383838361</v>
      </c>
      <c r="C87" s="76">
        <f t="shared" si="0"/>
        <v>3598.4848484848485</v>
      </c>
      <c r="D87" s="76">
        <f t="shared" si="2"/>
        <v>701704.54545454448</v>
      </c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</row>
    <row r="88" spans="1:25" ht="14.25" customHeight="1" x14ac:dyDescent="0.15">
      <c r="A88" s="70">
        <v>70</v>
      </c>
      <c r="B88" s="80">
        <f t="shared" si="1"/>
        <v>2046.638257575755</v>
      </c>
      <c r="C88" s="76">
        <f t="shared" si="0"/>
        <v>3598.4848484848485</v>
      </c>
      <c r="D88" s="76">
        <f t="shared" si="2"/>
        <v>698106.06060605962</v>
      </c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</row>
    <row r="89" spans="1:25" ht="14.25" customHeight="1" x14ac:dyDescent="0.15">
      <c r="A89" s="70">
        <v>71</v>
      </c>
      <c r="B89" s="80">
        <f t="shared" si="1"/>
        <v>2036.1426767676739</v>
      </c>
      <c r="C89" s="76">
        <f t="shared" si="0"/>
        <v>3598.4848484848485</v>
      </c>
      <c r="D89" s="76">
        <f t="shared" si="2"/>
        <v>694507.57575757476</v>
      </c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</row>
    <row r="90" spans="1:25" ht="14.25" customHeight="1" x14ac:dyDescent="0.15">
      <c r="A90" s="70">
        <v>72</v>
      </c>
      <c r="B90" s="80">
        <f t="shared" si="1"/>
        <v>2025.6470959595933</v>
      </c>
      <c r="C90" s="76">
        <f t="shared" si="0"/>
        <v>3598.4848484848485</v>
      </c>
      <c r="D90" s="76">
        <f t="shared" si="2"/>
        <v>690909.09090908989</v>
      </c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</row>
    <row r="91" spans="1:25" ht="14.25" customHeight="1" x14ac:dyDescent="0.15">
      <c r="A91" s="70">
        <v>73</v>
      </c>
      <c r="B91" s="80">
        <f t="shared" si="1"/>
        <v>2015.1515151515123</v>
      </c>
      <c r="C91" s="76">
        <f t="shared" si="0"/>
        <v>3598.4848484848485</v>
      </c>
      <c r="D91" s="76">
        <f t="shared" si="2"/>
        <v>687310.60606060503</v>
      </c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</row>
    <row r="92" spans="1:25" ht="14.25" customHeight="1" x14ac:dyDescent="0.15">
      <c r="A92" s="70">
        <v>74</v>
      </c>
      <c r="B92" s="80">
        <f t="shared" si="1"/>
        <v>2004.6559343434317</v>
      </c>
      <c r="C92" s="76">
        <f t="shared" si="0"/>
        <v>3598.4848484848485</v>
      </c>
      <c r="D92" s="76">
        <f t="shared" si="2"/>
        <v>683712.12121212017</v>
      </c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</row>
    <row r="93" spans="1:25" ht="14.25" customHeight="1" x14ac:dyDescent="0.15">
      <c r="A93" s="70">
        <v>75</v>
      </c>
      <c r="B93" s="80">
        <f t="shared" si="1"/>
        <v>1994.1603535353506</v>
      </c>
      <c r="C93" s="76">
        <f t="shared" si="0"/>
        <v>3598.4848484848485</v>
      </c>
      <c r="D93" s="76">
        <f t="shared" si="2"/>
        <v>680113.63636363531</v>
      </c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</row>
    <row r="94" spans="1:25" ht="14.25" customHeight="1" x14ac:dyDescent="0.15">
      <c r="A94" s="70">
        <v>76</v>
      </c>
      <c r="B94" s="80">
        <f t="shared" si="1"/>
        <v>1983.66477272727</v>
      </c>
      <c r="C94" s="76">
        <f t="shared" si="0"/>
        <v>3598.4848484848485</v>
      </c>
      <c r="D94" s="76">
        <f t="shared" si="2"/>
        <v>676515.15151515044</v>
      </c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</row>
    <row r="95" spans="1:25" ht="14.25" customHeight="1" x14ac:dyDescent="0.15">
      <c r="A95" s="70">
        <v>77</v>
      </c>
      <c r="B95" s="80">
        <f t="shared" si="1"/>
        <v>1973.169191919189</v>
      </c>
      <c r="C95" s="76">
        <f t="shared" si="0"/>
        <v>3598.4848484848485</v>
      </c>
      <c r="D95" s="76">
        <f t="shared" si="2"/>
        <v>672916.66666666558</v>
      </c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</row>
    <row r="96" spans="1:25" ht="14.25" customHeight="1" x14ac:dyDescent="0.15">
      <c r="A96" s="70">
        <v>78</v>
      </c>
      <c r="B96" s="80">
        <f t="shared" si="1"/>
        <v>1962.6736111111079</v>
      </c>
      <c r="C96" s="76">
        <f t="shared" si="0"/>
        <v>3598.4848484848485</v>
      </c>
      <c r="D96" s="76">
        <f t="shared" si="2"/>
        <v>669318.18181818072</v>
      </c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</row>
    <row r="97" spans="1:25" ht="14.25" customHeight="1" x14ac:dyDescent="0.15">
      <c r="A97" s="70">
        <v>79</v>
      </c>
      <c r="B97" s="80">
        <f t="shared" si="1"/>
        <v>1952.1780303030273</v>
      </c>
      <c r="C97" s="76">
        <f t="shared" si="0"/>
        <v>3598.4848484848485</v>
      </c>
      <c r="D97" s="76">
        <f t="shared" si="2"/>
        <v>665719.69696969585</v>
      </c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</row>
    <row r="98" spans="1:25" ht="14.25" customHeight="1" x14ac:dyDescent="0.15">
      <c r="A98" s="70">
        <v>80</v>
      </c>
      <c r="B98" s="80">
        <f t="shared" si="1"/>
        <v>1941.6824494949462</v>
      </c>
      <c r="C98" s="76">
        <f t="shared" si="0"/>
        <v>3598.4848484848485</v>
      </c>
      <c r="D98" s="76">
        <f t="shared" si="2"/>
        <v>662121.21212121099</v>
      </c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</row>
    <row r="99" spans="1:25" ht="14.25" customHeight="1" x14ac:dyDescent="0.15">
      <c r="A99" s="70">
        <v>81</v>
      </c>
      <c r="B99" s="80">
        <f t="shared" si="1"/>
        <v>1931.1868686868656</v>
      </c>
      <c r="C99" s="76">
        <f t="shared" si="0"/>
        <v>3598.4848484848485</v>
      </c>
      <c r="D99" s="76">
        <f t="shared" si="2"/>
        <v>658522.72727272613</v>
      </c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</row>
    <row r="100" spans="1:25" ht="14.25" customHeight="1" x14ac:dyDescent="0.15">
      <c r="A100" s="70">
        <v>82</v>
      </c>
      <c r="B100" s="80">
        <f t="shared" si="1"/>
        <v>1920.6912878787846</v>
      </c>
      <c r="C100" s="76">
        <f t="shared" si="0"/>
        <v>3598.4848484848485</v>
      </c>
      <c r="D100" s="76">
        <f t="shared" si="2"/>
        <v>654924.24242424127</v>
      </c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</row>
    <row r="101" spans="1:25" ht="14.25" customHeight="1" x14ac:dyDescent="0.15">
      <c r="A101" s="70">
        <v>83</v>
      </c>
      <c r="B101" s="80">
        <f t="shared" si="1"/>
        <v>1910.195707070704</v>
      </c>
      <c r="C101" s="76">
        <f t="shared" si="0"/>
        <v>3598.4848484848485</v>
      </c>
      <c r="D101" s="76">
        <f t="shared" si="2"/>
        <v>651325.7575757564</v>
      </c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</row>
    <row r="102" spans="1:25" ht="14.25" customHeight="1" x14ac:dyDescent="0.15">
      <c r="A102" s="70">
        <v>84</v>
      </c>
      <c r="B102" s="80">
        <f t="shared" si="1"/>
        <v>1899.7001262626229</v>
      </c>
      <c r="C102" s="76">
        <f t="shared" si="0"/>
        <v>3598.4848484848485</v>
      </c>
      <c r="D102" s="76">
        <f t="shared" si="2"/>
        <v>647727.27272727154</v>
      </c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</row>
    <row r="103" spans="1:25" ht="14.25" customHeight="1" x14ac:dyDescent="0.15">
      <c r="A103" s="70">
        <v>85</v>
      </c>
      <c r="B103" s="80">
        <f t="shared" si="1"/>
        <v>1889.2045454545423</v>
      </c>
      <c r="C103" s="76">
        <f t="shared" si="0"/>
        <v>3598.4848484848485</v>
      </c>
      <c r="D103" s="76">
        <f t="shared" si="2"/>
        <v>644128.78787878668</v>
      </c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</row>
    <row r="104" spans="1:25" ht="14.25" customHeight="1" x14ac:dyDescent="0.15">
      <c r="A104" s="70">
        <v>86</v>
      </c>
      <c r="B104" s="80">
        <f t="shared" si="1"/>
        <v>1878.7089646464613</v>
      </c>
      <c r="C104" s="76">
        <f t="shared" si="0"/>
        <v>3598.4848484848485</v>
      </c>
      <c r="D104" s="76">
        <f t="shared" si="2"/>
        <v>640530.30303030182</v>
      </c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</row>
    <row r="105" spans="1:25" ht="14.25" customHeight="1" x14ac:dyDescent="0.15">
      <c r="A105" s="70">
        <v>87</v>
      </c>
      <c r="B105" s="80">
        <f t="shared" si="1"/>
        <v>1868.2133838383804</v>
      </c>
      <c r="C105" s="76">
        <f t="shared" si="0"/>
        <v>3598.4848484848485</v>
      </c>
      <c r="D105" s="76">
        <f t="shared" si="2"/>
        <v>636931.81818181695</v>
      </c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</row>
    <row r="106" spans="1:25" ht="14.25" customHeight="1" x14ac:dyDescent="0.15">
      <c r="A106" s="70">
        <v>88</v>
      </c>
      <c r="B106" s="80">
        <f t="shared" si="1"/>
        <v>1857.7178030302996</v>
      </c>
      <c r="C106" s="76">
        <f t="shared" si="0"/>
        <v>3598.4848484848485</v>
      </c>
      <c r="D106" s="76">
        <f t="shared" si="2"/>
        <v>633333.33333333209</v>
      </c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</row>
    <row r="107" spans="1:25" ht="14.25" customHeight="1" x14ac:dyDescent="0.15">
      <c r="A107" s="70">
        <v>89</v>
      </c>
      <c r="B107" s="80">
        <f t="shared" si="1"/>
        <v>1847.2222222222188</v>
      </c>
      <c r="C107" s="76">
        <f t="shared" si="0"/>
        <v>3598.4848484848485</v>
      </c>
      <c r="D107" s="76">
        <f t="shared" si="2"/>
        <v>629734.84848484723</v>
      </c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</row>
    <row r="108" spans="1:25" ht="14.25" customHeight="1" x14ac:dyDescent="0.15">
      <c r="A108" s="70">
        <v>90</v>
      </c>
      <c r="B108" s="80">
        <f t="shared" si="1"/>
        <v>1836.7266414141379</v>
      </c>
      <c r="C108" s="76">
        <f t="shared" si="0"/>
        <v>3598.4848484848485</v>
      </c>
      <c r="D108" s="76">
        <f t="shared" si="2"/>
        <v>626136.36363636237</v>
      </c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</row>
    <row r="109" spans="1:25" ht="14.25" customHeight="1" x14ac:dyDescent="0.15">
      <c r="A109" s="70">
        <v>91</v>
      </c>
      <c r="B109" s="80">
        <f t="shared" si="1"/>
        <v>1826.2310606060571</v>
      </c>
      <c r="C109" s="76">
        <f t="shared" si="0"/>
        <v>3598.4848484848485</v>
      </c>
      <c r="D109" s="76">
        <f t="shared" si="2"/>
        <v>622537.8787878775</v>
      </c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</row>
    <row r="110" spans="1:25" ht="14.25" customHeight="1" x14ac:dyDescent="0.15">
      <c r="A110" s="70">
        <v>92</v>
      </c>
      <c r="B110" s="80">
        <f t="shared" si="1"/>
        <v>1815.7354797979763</v>
      </c>
      <c r="C110" s="76">
        <f t="shared" si="0"/>
        <v>3598.4848484848485</v>
      </c>
      <c r="D110" s="76">
        <f t="shared" si="2"/>
        <v>618939.39393939264</v>
      </c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</row>
    <row r="111" spans="1:25" ht="14.25" customHeight="1" x14ac:dyDescent="0.15">
      <c r="A111" s="70">
        <v>93</v>
      </c>
      <c r="B111" s="80">
        <f t="shared" si="1"/>
        <v>1805.2398989898954</v>
      </c>
      <c r="C111" s="76">
        <f t="shared" si="0"/>
        <v>3598.4848484848485</v>
      </c>
      <c r="D111" s="76">
        <f t="shared" si="2"/>
        <v>615340.90909090778</v>
      </c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</row>
    <row r="112" spans="1:25" ht="14.25" customHeight="1" x14ac:dyDescent="0.15">
      <c r="A112" s="70">
        <v>94</v>
      </c>
      <c r="B112" s="80">
        <f t="shared" si="1"/>
        <v>1794.7443181818144</v>
      </c>
      <c r="C112" s="76">
        <f t="shared" si="0"/>
        <v>3598.4848484848485</v>
      </c>
      <c r="D112" s="76">
        <f t="shared" si="2"/>
        <v>611742.42424242292</v>
      </c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</row>
    <row r="113" spans="1:25" ht="14.25" customHeight="1" x14ac:dyDescent="0.15">
      <c r="A113" s="70">
        <v>95</v>
      </c>
      <c r="B113" s="80">
        <f t="shared" si="1"/>
        <v>1784.2487373737338</v>
      </c>
      <c r="C113" s="76">
        <f t="shared" si="0"/>
        <v>3598.4848484848485</v>
      </c>
      <c r="D113" s="76">
        <f t="shared" si="2"/>
        <v>608143.93939393805</v>
      </c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</row>
    <row r="114" spans="1:25" ht="14.25" customHeight="1" x14ac:dyDescent="0.15">
      <c r="A114" s="70">
        <v>96</v>
      </c>
      <c r="B114" s="80">
        <f t="shared" si="1"/>
        <v>1773.7531565656527</v>
      </c>
      <c r="C114" s="76">
        <f t="shared" si="0"/>
        <v>3598.4848484848485</v>
      </c>
      <c r="D114" s="76">
        <f t="shared" si="2"/>
        <v>604545.45454545319</v>
      </c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</row>
    <row r="115" spans="1:25" ht="14.25" customHeight="1" x14ac:dyDescent="0.15">
      <c r="A115" s="70">
        <v>97</v>
      </c>
      <c r="B115" s="80">
        <f t="shared" si="1"/>
        <v>1763.2575757575721</v>
      </c>
      <c r="C115" s="76">
        <f t="shared" si="0"/>
        <v>3598.4848484848485</v>
      </c>
      <c r="D115" s="76">
        <f t="shared" si="2"/>
        <v>600946.96969696833</v>
      </c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</row>
    <row r="116" spans="1:25" ht="14.25" customHeight="1" x14ac:dyDescent="0.15">
      <c r="A116" s="70">
        <v>98</v>
      </c>
      <c r="B116" s="80">
        <f t="shared" si="1"/>
        <v>1752.7619949494911</v>
      </c>
      <c r="C116" s="76">
        <f t="shared" si="0"/>
        <v>3598.4848484848485</v>
      </c>
      <c r="D116" s="76">
        <f t="shared" si="2"/>
        <v>597348.48484848347</v>
      </c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</row>
    <row r="117" spans="1:25" ht="14.25" customHeight="1" x14ac:dyDescent="0.15">
      <c r="A117" s="70">
        <v>99</v>
      </c>
      <c r="B117" s="80">
        <f t="shared" si="1"/>
        <v>1742.2664141414105</v>
      </c>
      <c r="C117" s="76">
        <f t="shared" si="0"/>
        <v>3598.4848484848485</v>
      </c>
      <c r="D117" s="76">
        <f t="shared" si="2"/>
        <v>593749.9999999986</v>
      </c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</row>
    <row r="118" spans="1:25" ht="14.25" customHeight="1" x14ac:dyDescent="0.15">
      <c r="A118" s="70">
        <v>100</v>
      </c>
      <c r="B118" s="80">
        <f t="shared" si="1"/>
        <v>1731.7708333333294</v>
      </c>
      <c r="C118" s="76">
        <f t="shared" si="0"/>
        <v>3598.4848484848485</v>
      </c>
      <c r="D118" s="76">
        <f t="shared" si="2"/>
        <v>590151.51515151374</v>
      </c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</row>
    <row r="119" spans="1:25" ht="14.25" customHeight="1" x14ac:dyDescent="0.15">
      <c r="A119" s="70">
        <v>101</v>
      </c>
      <c r="B119" s="80">
        <f t="shared" si="1"/>
        <v>1721.2752525252488</v>
      </c>
      <c r="C119" s="76">
        <f t="shared" si="0"/>
        <v>3598.4848484848485</v>
      </c>
      <c r="D119" s="76">
        <f t="shared" si="2"/>
        <v>586553.03030302888</v>
      </c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</row>
    <row r="120" spans="1:25" ht="14.25" customHeight="1" x14ac:dyDescent="0.15">
      <c r="A120" s="70">
        <v>102</v>
      </c>
      <c r="B120" s="80">
        <f t="shared" si="1"/>
        <v>1710.7796717171677</v>
      </c>
      <c r="C120" s="76">
        <f t="shared" si="0"/>
        <v>3598.4848484848485</v>
      </c>
      <c r="D120" s="76">
        <f t="shared" si="2"/>
        <v>582954.54545454402</v>
      </c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</row>
    <row r="121" spans="1:25" ht="14.25" customHeight="1" x14ac:dyDescent="0.15">
      <c r="A121" s="70">
        <v>103</v>
      </c>
      <c r="B121" s="80">
        <f t="shared" si="1"/>
        <v>1700.2840909090867</v>
      </c>
      <c r="C121" s="76">
        <f t="shared" si="0"/>
        <v>3598.4848484848485</v>
      </c>
      <c r="D121" s="76">
        <f t="shared" si="2"/>
        <v>579356.06060605915</v>
      </c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</row>
    <row r="122" spans="1:25" ht="14.25" customHeight="1" x14ac:dyDescent="0.15">
      <c r="A122" s="70">
        <v>104</v>
      </c>
      <c r="B122" s="80">
        <f t="shared" si="1"/>
        <v>1689.7885101010061</v>
      </c>
      <c r="C122" s="76">
        <f t="shared" si="0"/>
        <v>3598.4848484848485</v>
      </c>
      <c r="D122" s="76">
        <f t="shared" si="2"/>
        <v>575757.57575757429</v>
      </c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</row>
    <row r="123" spans="1:25" ht="14.25" customHeight="1" x14ac:dyDescent="0.15">
      <c r="A123" s="70">
        <v>105</v>
      </c>
      <c r="B123" s="80">
        <f t="shared" si="1"/>
        <v>1679.292929292925</v>
      </c>
      <c r="C123" s="76">
        <f t="shared" si="0"/>
        <v>3598.4848484848485</v>
      </c>
      <c r="D123" s="76">
        <f t="shared" si="2"/>
        <v>572159.09090908943</v>
      </c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</row>
    <row r="124" spans="1:25" ht="14.25" customHeight="1" x14ac:dyDescent="0.15">
      <c r="A124" s="70">
        <v>106</v>
      </c>
      <c r="B124" s="80">
        <f t="shared" si="1"/>
        <v>1668.7973484848444</v>
      </c>
      <c r="C124" s="76">
        <f t="shared" si="0"/>
        <v>3598.4848484848485</v>
      </c>
      <c r="D124" s="76">
        <f t="shared" si="2"/>
        <v>568560.60606060456</v>
      </c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</row>
    <row r="125" spans="1:25" ht="14.25" customHeight="1" x14ac:dyDescent="0.15">
      <c r="A125" s="70">
        <v>107</v>
      </c>
      <c r="B125" s="80">
        <f t="shared" si="1"/>
        <v>1658.3017676767633</v>
      </c>
      <c r="C125" s="76">
        <f t="shared" si="0"/>
        <v>3598.4848484848485</v>
      </c>
      <c r="D125" s="76">
        <f t="shared" si="2"/>
        <v>564962.1212121197</v>
      </c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</row>
    <row r="126" spans="1:25" ht="14.25" customHeight="1" x14ac:dyDescent="0.15">
      <c r="A126" s="70">
        <v>108</v>
      </c>
      <c r="B126" s="80">
        <f t="shared" si="1"/>
        <v>1647.8061868686827</v>
      </c>
      <c r="C126" s="76">
        <f t="shared" si="0"/>
        <v>3598.4848484848485</v>
      </c>
      <c r="D126" s="76">
        <f t="shared" si="2"/>
        <v>561363.63636363484</v>
      </c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</row>
    <row r="127" spans="1:25" ht="14.25" customHeight="1" x14ac:dyDescent="0.15">
      <c r="A127" s="70">
        <v>109</v>
      </c>
      <c r="B127" s="80">
        <f t="shared" si="1"/>
        <v>1637.3106060606017</v>
      </c>
      <c r="C127" s="76">
        <f t="shared" si="0"/>
        <v>3598.4848484848485</v>
      </c>
      <c r="D127" s="76">
        <f t="shared" si="2"/>
        <v>557765.15151514998</v>
      </c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</row>
    <row r="128" spans="1:25" ht="14.25" customHeight="1" x14ac:dyDescent="0.15">
      <c r="A128" s="70">
        <v>110</v>
      </c>
      <c r="B128" s="80">
        <f t="shared" si="1"/>
        <v>1626.8150252525209</v>
      </c>
      <c r="C128" s="76">
        <f t="shared" si="0"/>
        <v>3598.4848484848485</v>
      </c>
      <c r="D128" s="76">
        <f t="shared" si="2"/>
        <v>554166.66666666511</v>
      </c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</row>
    <row r="129" spans="1:25" ht="14.25" customHeight="1" x14ac:dyDescent="0.15">
      <c r="A129" s="70">
        <v>111</v>
      </c>
      <c r="B129" s="80">
        <f t="shared" si="1"/>
        <v>1616.31944444444</v>
      </c>
      <c r="C129" s="76">
        <f t="shared" si="0"/>
        <v>3598.4848484848485</v>
      </c>
      <c r="D129" s="76">
        <f t="shared" si="2"/>
        <v>550568.18181818025</v>
      </c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</row>
    <row r="130" spans="1:25" ht="14.25" customHeight="1" x14ac:dyDescent="0.15">
      <c r="A130" s="70">
        <v>112</v>
      </c>
      <c r="B130" s="80">
        <f t="shared" si="1"/>
        <v>1605.8238636363592</v>
      </c>
      <c r="C130" s="76">
        <f t="shared" si="0"/>
        <v>3598.4848484848485</v>
      </c>
      <c r="D130" s="76">
        <f t="shared" si="2"/>
        <v>546969.69696969539</v>
      </c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</row>
    <row r="131" spans="1:25" ht="14.25" customHeight="1" x14ac:dyDescent="0.15">
      <c r="A131" s="70">
        <v>113</v>
      </c>
      <c r="B131" s="80">
        <f t="shared" si="1"/>
        <v>1595.3282828282784</v>
      </c>
      <c r="C131" s="76">
        <f t="shared" si="0"/>
        <v>3598.4848484848485</v>
      </c>
      <c r="D131" s="76">
        <f t="shared" si="2"/>
        <v>543371.21212121053</v>
      </c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</row>
    <row r="132" spans="1:25" ht="14.25" customHeight="1" x14ac:dyDescent="0.15">
      <c r="A132" s="70">
        <v>114</v>
      </c>
      <c r="B132" s="80">
        <f t="shared" si="1"/>
        <v>1584.8327020201975</v>
      </c>
      <c r="C132" s="76">
        <f t="shared" si="0"/>
        <v>3598.4848484848485</v>
      </c>
      <c r="D132" s="76">
        <f t="shared" si="2"/>
        <v>539772.72727272566</v>
      </c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</row>
    <row r="133" spans="1:25" ht="14.25" customHeight="1" x14ac:dyDescent="0.15">
      <c r="A133" s="70">
        <v>115</v>
      </c>
      <c r="B133" s="80">
        <f t="shared" si="1"/>
        <v>1574.3371212121167</v>
      </c>
      <c r="C133" s="76">
        <f t="shared" si="0"/>
        <v>3598.4848484848485</v>
      </c>
      <c r="D133" s="76">
        <f t="shared" si="2"/>
        <v>536174.2424242408</v>
      </c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</row>
    <row r="134" spans="1:25" ht="14.25" customHeight="1" x14ac:dyDescent="0.15">
      <c r="A134" s="70">
        <v>116</v>
      </c>
      <c r="B134" s="80">
        <f t="shared" si="1"/>
        <v>1563.8415404040359</v>
      </c>
      <c r="C134" s="76">
        <f t="shared" si="0"/>
        <v>3598.4848484848485</v>
      </c>
      <c r="D134" s="76">
        <f t="shared" si="2"/>
        <v>532575.75757575594</v>
      </c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</row>
    <row r="135" spans="1:25" ht="14.25" customHeight="1" x14ac:dyDescent="0.15">
      <c r="A135" s="70">
        <v>117</v>
      </c>
      <c r="B135" s="80">
        <f t="shared" si="1"/>
        <v>1553.345959595955</v>
      </c>
      <c r="C135" s="76">
        <f t="shared" si="0"/>
        <v>3598.4848484848485</v>
      </c>
      <c r="D135" s="76">
        <f t="shared" si="2"/>
        <v>528977.27272727108</v>
      </c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</row>
    <row r="136" spans="1:25" ht="14.25" customHeight="1" x14ac:dyDescent="0.15">
      <c r="A136" s="70">
        <v>118</v>
      </c>
      <c r="B136" s="80">
        <f t="shared" si="1"/>
        <v>1542.8503787878742</v>
      </c>
      <c r="C136" s="76">
        <f t="shared" si="0"/>
        <v>3598.4848484848485</v>
      </c>
      <c r="D136" s="76">
        <f t="shared" si="2"/>
        <v>525378.78787878621</v>
      </c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</row>
    <row r="137" spans="1:25" ht="14.25" customHeight="1" x14ac:dyDescent="0.15">
      <c r="A137" s="70">
        <v>119</v>
      </c>
      <c r="B137" s="80">
        <f t="shared" si="1"/>
        <v>1532.3547979797931</v>
      </c>
      <c r="C137" s="76">
        <f t="shared" si="0"/>
        <v>3598.4848484848485</v>
      </c>
      <c r="D137" s="76">
        <f t="shared" si="2"/>
        <v>521780.30303030135</v>
      </c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</row>
    <row r="138" spans="1:25" ht="14.25" customHeight="1" x14ac:dyDescent="0.15">
      <c r="A138" s="70">
        <v>120</v>
      </c>
      <c r="B138" s="80">
        <f t="shared" si="1"/>
        <v>1521.8592171717125</v>
      </c>
      <c r="C138" s="76">
        <f t="shared" si="0"/>
        <v>3598.4848484848485</v>
      </c>
      <c r="D138" s="76">
        <f t="shared" si="2"/>
        <v>518181.81818181649</v>
      </c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</row>
    <row r="139" spans="1:25" ht="14.25" customHeight="1" x14ac:dyDescent="0.15">
      <c r="A139" s="70">
        <v>121</v>
      </c>
      <c r="B139" s="80">
        <f t="shared" si="1"/>
        <v>1511.3636363636315</v>
      </c>
      <c r="C139" s="76">
        <f t="shared" si="0"/>
        <v>3598.4848484848485</v>
      </c>
      <c r="D139" s="76">
        <f t="shared" si="2"/>
        <v>514583.33333333163</v>
      </c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</row>
    <row r="140" spans="1:25" ht="14.25" customHeight="1" x14ac:dyDescent="0.15">
      <c r="A140" s="70">
        <v>122</v>
      </c>
      <c r="B140" s="80">
        <f t="shared" si="1"/>
        <v>1500.8680555555509</v>
      </c>
      <c r="C140" s="76">
        <f t="shared" si="0"/>
        <v>3598.4848484848485</v>
      </c>
      <c r="D140" s="76">
        <f t="shared" si="2"/>
        <v>510984.84848484676</v>
      </c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</row>
    <row r="141" spans="1:25" ht="14.25" customHeight="1" x14ac:dyDescent="0.15">
      <c r="A141" s="70">
        <v>123</v>
      </c>
      <c r="B141" s="80">
        <f t="shared" si="1"/>
        <v>1490.3724747474698</v>
      </c>
      <c r="C141" s="76">
        <f t="shared" si="0"/>
        <v>3598.4848484848485</v>
      </c>
      <c r="D141" s="76">
        <f t="shared" si="2"/>
        <v>507386.3636363619</v>
      </c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</row>
    <row r="142" spans="1:25" ht="14.25" customHeight="1" x14ac:dyDescent="0.15">
      <c r="A142" s="70">
        <v>124</v>
      </c>
      <c r="B142" s="80">
        <f t="shared" si="1"/>
        <v>1479.8768939393892</v>
      </c>
      <c r="C142" s="76">
        <f t="shared" si="0"/>
        <v>3598.4848484848485</v>
      </c>
      <c r="D142" s="76">
        <f t="shared" si="2"/>
        <v>503787.87878787704</v>
      </c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</row>
    <row r="143" spans="1:25" ht="14.25" customHeight="1" x14ac:dyDescent="0.15">
      <c r="A143" s="70">
        <v>125</v>
      </c>
      <c r="B143" s="80">
        <f t="shared" si="1"/>
        <v>1469.3813131313082</v>
      </c>
      <c r="C143" s="76">
        <f t="shared" si="0"/>
        <v>3598.4848484848485</v>
      </c>
      <c r="D143" s="76">
        <f t="shared" si="2"/>
        <v>500189.39393939218</v>
      </c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</row>
    <row r="144" spans="1:25" ht="14.25" customHeight="1" x14ac:dyDescent="0.15">
      <c r="A144" s="70">
        <v>126</v>
      </c>
      <c r="B144" s="80">
        <f t="shared" si="1"/>
        <v>1458.8857323232271</v>
      </c>
      <c r="C144" s="76">
        <f t="shared" si="0"/>
        <v>3598.4848484848485</v>
      </c>
      <c r="D144" s="76">
        <f t="shared" si="2"/>
        <v>496590.90909090731</v>
      </c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</row>
    <row r="145" spans="1:25" ht="14.25" customHeight="1" x14ac:dyDescent="0.15">
      <c r="A145" s="70">
        <v>127</v>
      </c>
      <c r="B145" s="80">
        <f t="shared" si="1"/>
        <v>1448.3901515151465</v>
      </c>
      <c r="C145" s="76">
        <f t="shared" si="0"/>
        <v>3598.4848484848485</v>
      </c>
      <c r="D145" s="76">
        <f t="shared" si="2"/>
        <v>492992.42424242245</v>
      </c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</row>
    <row r="146" spans="1:25" ht="14.25" customHeight="1" x14ac:dyDescent="0.15">
      <c r="A146" s="70">
        <v>128</v>
      </c>
      <c r="B146" s="80">
        <f t="shared" si="1"/>
        <v>1437.8945707070654</v>
      </c>
      <c r="C146" s="76">
        <f t="shared" si="0"/>
        <v>3598.4848484848485</v>
      </c>
      <c r="D146" s="76">
        <f t="shared" si="2"/>
        <v>489393.93939393759</v>
      </c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</row>
    <row r="147" spans="1:25" ht="14.25" customHeight="1" x14ac:dyDescent="0.15">
      <c r="A147" s="70">
        <v>129</v>
      </c>
      <c r="B147" s="80">
        <f t="shared" si="1"/>
        <v>1427.3989898989848</v>
      </c>
      <c r="C147" s="76">
        <f t="shared" si="0"/>
        <v>3598.4848484848485</v>
      </c>
      <c r="D147" s="76">
        <f t="shared" si="2"/>
        <v>485795.45454545273</v>
      </c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</row>
    <row r="148" spans="1:25" ht="14.25" customHeight="1" x14ac:dyDescent="0.15">
      <c r="A148" s="70">
        <v>130</v>
      </c>
      <c r="B148" s="80">
        <f t="shared" si="1"/>
        <v>1416.9034090909038</v>
      </c>
      <c r="C148" s="76">
        <f t="shared" si="0"/>
        <v>3598.4848484848485</v>
      </c>
      <c r="D148" s="76">
        <f t="shared" si="2"/>
        <v>482196.96969696786</v>
      </c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</row>
    <row r="149" spans="1:25" ht="14.25" customHeight="1" x14ac:dyDescent="0.15">
      <c r="A149" s="70">
        <v>131</v>
      </c>
      <c r="B149" s="80">
        <f t="shared" si="1"/>
        <v>1406.4078282828232</v>
      </c>
      <c r="C149" s="76">
        <f t="shared" si="0"/>
        <v>3598.4848484848485</v>
      </c>
      <c r="D149" s="76">
        <f t="shared" si="2"/>
        <v>478598.484848483</v>
      </c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</row>
    <row r="150" spans="1:25" ht="14.25" customHeight="1" x14ac:dyDescent="0.15">
      <c r="A150" s="70">
        <v>132</v>
      </c>
      <c r="B150" s="80">
        <f t="shared" si="1"/>
        <v>1395.9122474747421</v>
      </c>
      <c r="C150" s="76">
        <f t="shared" si="0"/>
        <v>3598.4848484848485</v>
      </c>
      <c r="D150" s="76">
        <f t="shared" si="2"/>
        <v>474999.99999999814</v>
      </c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</row>
    <row r="151" spans="1:25" ht="14.25" customHeight="1" x14ac:dyDescent="0.15">
      <c r="A151" s="70">
        <v>133</v>
      </c>
      <c r="B151" s="80">
        <f t="shared" si="1"/>
        <v>1385.4166666666615</v>
      </c>
      <c r="C151" s="76">
        <f t="shared" si="0"/>
        <v>3598.4848484848485</v>
      </c>
      <c r="D151" s="76">
        <f t="shared" si="2"/>
        <v>471401.51515151327</v>
      </c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</row>
    <row r="152" spans="1:25" ht="14.25" customHeight="1" x14ac:dyDescent="0.15">
      <c r="A152" s="70">
        <v>134</v>
      </c>
      <c r="B152" s="80">
        <f t="shared" si="1"/>
        <v>1374.9210858585805</v>
      </c>
      <c r="C152" s="76">
        <f t="shared" si="0"/>
        <v>3598.4848484848485</v>
      </c>
      <c r="D152" s="76">
        <f t="shared" si="2"/>
        <v>467803.03030302841</v>
      </c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</row>
    <row r="153" spans="1:25" ht="14.25" customHeight="1" x14ac:dyDescent="0.15">
      <c r="A153" s="70">
        <v>135</v>
      </c>
      <c r="B153" s="80">
        <f t="shared" si="1"/>
        <v>1364.4255050504996</v>
      </c>
      <c r="C153" s="76">
        <f t="shared" si="0"/>
        <v>3598.4848484848485</v>
      </c>
      <c r="D153" s="76">
        <f t="shared" si="2"/>
        <v>464204.54545454355</v>
      </c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</row>
    <row r="154" spans="1:25" ht="14.25" customHeight="1" x14ac:dyDescent="0.15">
      <c r="A154" s="70">
        <v>136</v>
      </c>
      <c r="B154" s="80">
        <f t="shared" si="1"/>
        <v>1353.9299242424188</v>
      </c>
      <c r="C154" s="76">
        <f t="shared" si="0"/>
        <v>3598.4848484848485</v>
      </c>
      <c r="D154" s="76">
        <f t="shared" si="2"/>
        <v>460606.06060605869</v>
      </c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</row>
    <row r="155" spans="1:25" ht="14.25" customHeight="1" x14ac:dyDescent="0.15">
      <c r="A155" s="70">
        <v>137</v>
      </c>
      <c r="B155" s="80">
        <f t="shared" si="1"/>
        <v>1343.434343434338</v>
      </c>
      <c r="C155" s="76">
        <f t="shared" si="0"/>
        <v>3598.4848484848485</v>
      </c>
      <c r="D155" s="76">
        <f t="shared" si="2"/>
        <v>457007.57575757382</v>
      </c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</row>
    <row r="156" spans="1:25" ht="14.25" customHeight="1" x14ac:dyDescent="0.15">
      <c r="A156" s="70">
        <v>138</v>
      </c>
      <c r="B156" s="80">
        <f t="shared" si="1"/>
        <v>1332.9387626262571</v>
      </c>
      <c r="C156" s="76">
        <f t="shared" si="0"/>
        <v>3598.4848484848485</v>
      </c>
      <c r="D156" s="76">
        <f t="shared" si="2"/>
        <v>453409.09090908896</v>
      </c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</row>
    <row r="157" spans="1:25" ht="14.25" customHeight="1" x14ac:dyDescent="0.15">
      <c r="A157" s="70">
        <v>139</v>
      </c>
      <c r="B157" s="80">
        <f t="shared" si="1"/>
        <v>1322.4431818181763</v>
      </c>
      <c r="C157" s="76">
        <f t="shared" si="0"/>
        <v>3598.4848484848485</v>
      </c>
      <c r="D157" s="76">
        <f t="shared" si="2"/>
        <v>449810.6060606041</v>
      </c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</row>
    <row r="158" spans="1:25" ht="14.25" customHeight="1" x14ac:dyDescent="0.15">
      <c r="A158" s="70">
        <v>140</v>
      </c>
      <c r="B158" s="80">
        <f t="shared" si="1"/>
        <v>1311.9476010100955</v>
      </c>
      <c r="C158" s="76">
        <f t="shared" si="0"/>
        <v>3598.4848484848485</v>
      </c>
      <c r="D158" s="76">
        <f t="shared" si="2"/>
        <v>446212.12121211924</v>
      </c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</row>
    <row r="159" spans="1:25" ht="14.25" customHeight="1" x14ac:dyDescent="0.15">
      <c r="A159" s="70">
        <v>141</v>
      </c>
      <c r="B159" s="80">
        <f t="shared" si="1"/>
        <v>1301.4520202020146</v>
      </c>
      <c r="C159" s="76">
        <f t="shared" si="0"/>
        <v>3598.4848484848485</v>
      </c>
      <c r="D159" s="76">
        <f t="shared" si="2"/>
        <v>442613.63636363437</v>
      </c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</row>
    <row r="160" spans="1:25" ht="14.25" customHeight="1" x14ac:dyDescent="0.15">
      <c r="A160" s="70">
        <v>142</v>
      </c>
      <c r="B160" s="80">
        <f t="shared" si="1"/>
        <v>1290.9564393939338</v>
      </c>
      <c r="C160" s="76">
        <f t="shared" si="0"/>
        <v>3598.4848484848485</v>
      </c>
      <c r="D160" s="76">
        <f t="shared" si="2"/>
        <v>439015.15151514951</v>
      </c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</row>
    <row r="161" spans="1:25" ht="14.25" customHeight="1" x14ac:dyDescent="0.15">
      <c r="A161" s="70">
        <v>143</v>
      </c>
      <c r="B161" s="80">
        <f t="shared" si="1"/>
        <v>1280.460858585853</v>
      </c>
      <c r="C161" s="76">
        <f t="shared" si="0"/>
        <v>3598.4848484848485</v>
      </c>
      <c r="D161" s="76">
        <f t="shared" si="2"/>
        <v>435416.66666666465</v>
      </c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</row>
    <row r="162" spans="1:25" ht="14.25" customHeight="1" x14ac:dyDescent="0.15">
      <c r="A162" s="70">
        <v>144</v>
      </c>
      <c r="B162" s="80">
        <f t="shared" si="1"/>
        <v>1269.9652777777721</v>
      </c>
      <c r="C162" s="76">
        <f t="shared" si="0"/>
        <v>3598.4848484848485</v>
      </c>
      <c r="D162" s="76">
        <f t="shared" si="2"/>
        <v>431818.18181817979</v>
      </c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</row>
    <row r="163" spans="1:25" ht="14.25" customHeight="1" x14ac:dyDescent="0.15">
      <c r="A163" s="70">
        <v>145</v>
      </c>
      <c r="B163" s="80">
        <f t="shared" si="1"/>
        <v>1259.4696969696913</v>
      </c>
      <c r="C163" s="76">
        <f t="shared" si="0"/>
        <v>3598.4848484848485</v>
      </c>
      <c r="D163" s="76">
        <f t="shared" si="2"/>
        <v>428219.69696969492</v>
      </c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</row>
    <row r="164" spans="1:25" ht="14.25" customHeight="1" x14ac:dyDescent="0.15">
      <c r="A164" s="70">
        <v>146</v>
      </c>
      <c r="B164" s="80">
        <f t="shared" si="1"/>
        <v>1248.9741161616103</v>
      </c>
      <c r="C164" s="76">
        <f t="shared" si="0"/>
        <v>3598.4848484848485</v>
      </c>
      <c r="D164" s="76">
        <f t="shared" si="2"/>
        <v>424621.21212121006</v>
      </c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</row>
    <row r="165" spans="1:25" ht="14.25" customHeight="1" x14ac:dyDescent="0.15">
      <c r="A165" s="70">
        <v>147</v>
      </c>
      <c r="B165" s="80">
        <f t="shared" si="1"/>
        <v>1238.4785353535294</v>
      </c>
      <c r="C165" s="76">
        <f t="shared" si="0"/>
        <v>3598.4848484848485</v>
      </c>
      <c r="D165" s="76">
        <f t="shared" si="2"/>
        <v>421022.7272727252</v>
      </c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</row>
    <row r="166" spans="1:25" ht="14.25" customHeight="1" x14ac:dyDescent="0.15">
      <c r="A166" s="70">
        <v>148</v>
      </c>
      <c r="B166" s="80">
        <f t="shared" si="1"/>
        <v>1227.9829545454486</v>
      </c>
      <c r="C166" s="76">
        <f t="shared" si="0"/>
        <v>3598.4848484848485</v>
      </c>
      <c r="D166" s="76">
        <f t="shared" si="2"/>
        <v>417424.24242424034</v>
      </c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</row>
    <row r="167" spans="1:25" ht="14.25" customHeight="1" x14ac:dyDescent="0.15">
      <c r="A167" s="70">
        <v>149</v>
      </c>
      <c r="B167" s="80">
        <f t="shared" si="1"/>
        <v>1217.4873737373678</v>
      </c>
      <c r="C167" s="76">
        <f t="shared" si="0"/>
        <v>3598.4848484848485</v>
      </c>
      <c r="D167" s="76">
        <f t="shared" si="2"/>
        <v>413825.75757575547</v>
      </c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</row>
    <row r="168" spans="1:25" ht="14.25" customHeight="1" x14ac:dyDescent="0.15">
      <c r="A168" s="70">
        <v>150</v>
      </c>
      <c r="B168" s="80">
        <f t="shared" si="1"/>
        <v>1206.9917929292869</v>
      </c>
      <c r="C168" s="76">
        <f t="shared" si="0"/>
        <v>3598.4848484848485</v>
      </c>
      <c r="D168" s="76">
        <f t="shared" si="2"/>
        <v>410227.27272727061</v>
      </c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</row>
    <row r="169" spans="1:25" ht="14.25" customHeight="1" x14ac:dyDescent="0.15">
      <c r="A169" s="70">
        <v>151</v>
      </c>
      <c r="B169" s="80">
        <f t="shared" si="1"/>
        <v>1196.4962121212061</v>
      </c>
      <c r="C169" s="76">
        <f t="shared" si="0"/>
        <v>3598.4848484848485</v>
      </c>
      <c r="D169" s="76">
        <f t="shared" si="2"/>
        <v>406628.78787878575</v>
      </c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</row>
    <row r="170" spans="1:25" ht="14.25" customHeight="1" x14ac:dyDescent="0.15">
      <c r="A170" s="70">
        <v>152</v>
      </c>
      <c r="B170" s="80">
        <f t="shared" si="1"/>
        <v>1186.0006313131253</v>
      </c>
      <c r="C170" s="76">
        <f t="shared" si="0"/>
        <v>3598.4848484848485</v>
      </c>
      <c r="D170" s="76">
        <f t="shared" si="2"/>
        <v>403030.30303030089</v>
      </c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</row>
    <row r="171" spans="1:25" ht="14.25" customHeight="1" x14ac:dyDescent="0.15">
      <c r="A171" s="70">
        <v>153</v>
      </c>
      <c r="B171" s="80">
        <f t="shared" si="1"/>
        <v>1175.5050505050442</v>
      </c>
      <c r="C171" s="76">
        <f t="shared" si="0"/>
        <v>3598.4848484848485</v>
      </c>
      <c r="D171" s="76">
        <f t="shared" si="2"/>
        <v>399431.81818181602</v>
      </c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</row>
    <row r="172" spans="1:25" ht="14.25" customHeight="1" x14ac:dyDescent="0.15">
      <c r="A172" s="70">
        <v>154</v>
      </c>
      <c r="B172" s="80">
        <f t="shared" si="1"/>
        <v>1165.0094696969634</v>
      </c>
      <c r="C172" s="76">
        <f t="shared" si="0"/>
        <v>3598.4848484848485</v>
      </c>
      <c r="D172" s="76">
        <f t="shared" si="2"/>
        <v>395833.33333333116</v>
      </c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</row>
    <row r="173" spans="1:25" ht="14.25" customHeight="1" x14ac:dyDescent="0.15">
      <c r="A173" s="70">
        <v>155</v>
      </c>
      <c r="B173" s="80">
        <f t="shared" si="1"/>
        <v>1154.5138888888825</v>
      </c>
      <c r="C173" s="76">
        <f t="shared" si="0"/>
        <v>3598.4848484848485</v>
      </c>
      <c r="D173" s="76">
        <f t="shared" si="2"/>
        <v>392234.8484848463</v>
      </c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</row>
    <row r="174" spans="1:25" ht="14.25" customHeight="1" x14ac:dyDescent="0.15">
      <c r="A174" s="70">
        <v>156</v>
      </c>
      <c r="B174" s="80">
        <f t="shared" si="1"/>
        <v>1144.0183080808017</v>
      </c>
      <c r="C174" s="76">
        <f t="shared" si="0"/>
        <v>3598.4848484848485</v>
      </c>
      <c r="D174" s="76">
        <f t="shared" si="2"/>
        <v>388636.36363636144</v>
      </c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</row>
    <row r="175" spans="1:25" ht="14.25" customHeight="1" x14ac:dyDescent="0.15">
      <c r="A175" s="70">
        <v>157</v>
      </c>
      <c r="B175" s="80">
        <f t="shared" si="1"/>
        <v>1133.5227272727209</v>
      </c>
      <c r="C175" s="76">
        <f t="shared" si="0"/>
        <v>3598.4848484848485</v>
      </c>
      <c r="D175" s="76">
        <f t="shared" si="2"/>
        <v>385037.87878787657</v>
      </c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</row>
    <row r="176" spans="1:25" ht="14.25" customHeight="1" x14ac:dyDescent="0.15">
      <c r="A176" s="70">
        <v>158</v>
      </c>
      <c r="B176" s="80">
        <f t="shared" si="1"/>
        <v>1123.0271464646401</v>
      </c>
      <c r="C176" s="76">
        <f t="shared" si="0"/>
        <v>3598.4848484848485</v>
      </c>
      <c r="D176" s="76">
        <f t="shared" si="2"/>
        <v>381439.39393939171</v>
      </c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</row>
    <row r="177" spans="1:25" ht="14.25" customHeight="1" x14ac:dyDescent="0.15">
      <c r="A177" s="70">
        <v>159</v>
      </c>
      <c r="B177" s="80">
        <f t="shared" si="1"/>
        <v>1112.5315656565592</v>
      </c>
      <c r="C177" s="76">
        <f t="shared" si="0"/>
        <v>3598.4848484848485</v>
      </c>
      <c r="D177" s="76">
        <f t="shared" si="2"/>
        <v>377840.90909090685</v>
      </c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</row>
    <row r="178" spans="1:25" ht="14.25" customHeight="1" x14ac:dyDescent="0.15">
      <c r="A178" s="70">
        <v>160</v>
      </c>
      <c r="B178" s="80">
        <f t="shared" si="1"/>
        <v>1102.0359848484784</v>
      </c>
      <c r="C178" s="76">
        <f t="shared" si="0"/>
        <v>3598.4848484848485</v>
      </c>
      <c r="D178" s="76">
        <f t="shared" si="2"/>
        <v>374242.42424242198</v>
      </c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</row>
    <row r="179" spans="1:25" ht="14.25" customHeight="1" x14ac:dyDescent="0.15">
      <c r="A179" s="70">
        <v>161</v>
      </c>
      <c r="B179" s="80">
        <f t="shared" si="1"/>
        <v>1091.5404040403976</v>
      </c>
      <c r="C179" s="76">
        <f t="shared" si="0"/>
        <v>3598.4848484848485</v>
      </c>
      <c r="D179" s="76">
        <f t="shared" si="2"/>
        <v>370643.93939393712</v>
      </c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</row>
    <row r="180" spans="1:25" ht="14.25" customHeight="1" x14ac:dyDescent="0.15">
      <c r="A180" s="70">
        <v>162</v>
      </c>
      <c r="B180" s="80">
        <f t="shared" si="1"/>
        <v>1081.0448232323167</v>
      </c>
      <c r="C180" s="76">
        <f t="shared" si="0"/>
        <v>3598.4848484848485</v>
      </c>
      <c r="D180" s="76">
        <f t="shared" si="2"/>
        <v>367045.45454545226</v>
      </c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</row>
    <row r="181" spans="1:25" ht="14.25" customHeight="1" x14ac:dyDescent="0.15">
      <c r="A181" s="70">
        <v>163</v>
      </c>
      <c r="B181" s="80">
        <f t="shared" si="1"/>
        <v>1070.5492424242359</v>
      </c>
      <c r="C181" s="76">
        <f t="shared" si="0"/>
        <v>3598.4848484848485</v>
      </c>
      <c r="D181" s="76">
        <f t="shared" si="2"/>
        <v>363446.9696969674</v>
      </c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</row>
    <row r="182" spans="1:25" ht="14.25" customHeight="1" x14ac:dyDescent="0.15">
      <c r="A182" s="70">
        <v>164</v>
      </c>
      <c r="B182" s="80">
        <f t="shared" si="1"/>
        <v>1060.0536616161551</v>
      </c>
      <c r="C182" s="76">
        <f t="shared" si="0"/>
        <v>3598.4848484848485</v>
      </c>
      <c r="D182" s="76">
        <f t="shared" si="2"/>
        <v>359848.48484848253</v>
      </c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</row>
    <row r="183" spans="1:25" ht="14.25" customHeight="1" x14ac:dyDescent="0.15">
      <c r="A183" s="70">
        <v>165</v>
      </c>
      <c r="B183" s="80">
        <f t="shared" si="1"/>
        <v>1049.5580808080742</v>
      </c>
      <c r="C183" s="76">
        <f t="shared" si="0"/>
        <v>3598.4848484848485</v>
      </c>
      <c r="D183" s="76">
        <f t="shared" si="2"/>
        <v>356249.99999999767</v>
      </c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</row>
    <row r="184" spans="1:25" ht="14.25" customHeight="1" x14ac:dyDescent="0.15">
      <c r="A184" s="70">
        <v>166</v>
      </c>
      <c r="B184" s="80">
        <f t="shared" si="1"/>
        <v>1039.0624999999934</v>
      </c>
      <c r="C184" s="76">
        <f t="shared" si="0"/>
        <v>3598.4848484848485</v>
      </c>
      <c r="D184" s="76">
        <f t="shared" si="2"/>
        <v>352651.51515151281</v>
      </c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</row>
    <row r="185" spans="1:25" ht="14.25" customHeight="1" x14ac:dyDescent="0.15">
      <c r="A185" s="70">
        <v>167</v>
      </c>
      <c r="B185" s="80">
        <f t="shared" si="1"/>
        <v>1028.5669191919126</v>
      </c>
      <c r="C185" s="76">
        <f t="shared" si="0"/>
        <v>3598.4848484848485</v>
      </c>
      <c r="D185" s="76">
        <f t="shared" si="2"/>
        <v>349053.03030302795</v>
      </c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</row>
    <row r="186" spans="1:25" ht="14.25" customHeight="1" x14ac:dyDescent="0.15">
      <c r="A186" s="70">
        <v>168</v>
      </c>
      <c r="B186" s="80">
        <f t="shared" si="1"/>
        <v>1018.0713383838316</v>
      </c>
      <c r="C186" s="76">
        <f t="shared" si="0"/>
        <v>3598.4848484848485</v>
      </c>
      <c r="D186" s="76">
        <f t="shared" si="2"/>
        <v>345454.54545454308</v>
      </c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</row>
    <row r="187" spans="1:25" ht="14.25" customHeight="1" x14ac:dyDescent="0.15">
      <c r="A187" s="70">
        <v>169</v>
      </c>
      <c r="B187" s="80">
        <f t="shared" si="1"/>
        <v>1007.5757575757507</v>
      </c>
      <c r="C187" s="76">
        <f t="shared" si="0"/>
        <v>3598.4848484848485</v>
      </c>
      <c r="D187" s="76">
        <f t="shared" si="2"/>
        <v>341856.06060605822</v>
      </c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</row>
    <row r="188" spans="1:25" ht="14.25" customHeight="1" x14ac:dyDescent="0.15">
      <c r="A188" s="70">
        <v>170</v>
      </c>
      <c r="B188" s="80">
        <f t="shared" si="1"/>
        <v>997.08017676766985</v>
      </c>
      <c r="C188" s="76">
        <f t="shared" si="0"/>
        <v>3598.4848484848485</v>
      </c>
      <c r="D188" s="76">
        <f t="shared" si="2"/>
        <v>338257.57575757336</v>
      </c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</row>
    <row r="189" spans="1:25" ht="14.25" customHeight="1" x14ac:dyDescent="0.15">
      <c r="A189" s="70">
        <v>171</v>
      </c>
      <c r="B189" s="80">
        <f t="shared" si="1"/>
        <v>986.58459595958902</v>
      </c>
      <c r="C189" s="76">
        <f t="shared" si="0"/>
        <v>3598.4848484848485</v>
      </c>
      <c r="D189" s="76">
        <f t="shared" si="2"/>
        <v>334659.0909090885</v>
      </c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</row>
    <row r="190" spans="1:25" ht="14.25" customHeight="1" x14ac:dyDescent="0.15">
      <c r="A190" s="70">
        <v>172</v>
      </c>
      <c r="B190" s="80">
        <f t="shared" si="1"/>
        <v>976.08901515150819</v>
      </c>
      <c r="C190" s="76">
        <f t="shared" si="0"/>
        <v>3598.4848484848485</v>
      </c>
      <c r="D190" s="76">
        <f t="shared" si="2"/>
        <v>331060.60606060363</v>
      </c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</row>
    <row r="191" spans="1:25" ht="14.25" customHeight="1" x14ac:dyDescent="0.15">
      <c r="A191" s="70">
        <v>173</v>
      </c>
      <c r="B191" s="80">
        <f t="shared" si="1"/>
        <v>965.59343434342736</v>
      </c>
      <c r="C191" s="76">
        <f t="shared" si="0"/>
        <v>3598.4848484848485</v>
      </c>
      <c r="D191" s="76">
        <f t="shared" si="2"/>
        <v>327462.12121211877</v>
      </c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</row>
    <row r="192" spans="1:25" ht="14.25" customHeight="1" x14ac:dyDescent="0.15">
      <c r="A192" s="70">
        <v>174</v>
      </c>
      <c r="B192" s="80">
        <f t="shared" si="1"/>
        <v>955.09785353534653</v>
      </c>
      <c r="C192" s="76">
        <f t="shared" si="0"/>
        <v>3598.4848484848485</v>
      </c>
      <c r="D192" s="76">
        <f t="shared" si="2"/>
        <v>323863.63636363391</v>
      </c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</row>
    <row r="193" spans="1:25" ht="14.25" customHeight="1" x14ac:dyDescent="0.15">
      <c r="A193" s="70">
        <v>175</v>
      </c>
      <c r="B193" s="80">
        <f t="shared" si="1"/>
        <v>944.6022727272657</v>
      </c>
      <c r="C193" s="76">
        <f t="shared" si="0"/>
        <v>3598.4848484848485</v>
      </c>
      <c r="D193" s="76">
        <f t="shared" si="2"/>
        <v>320265.15151514905</v>
      </c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</row>
    <row r="194" spans="1:25" ht="14.25" customHeight="1" x14ac:dyDescent="0.15">
      <c r="A194" s="70">
        <v>176</v>
      </c>
      <c r="B194" s="80">
        <f t="shared" si="1"/>
        <v>934.10669191918487</v>
      </c>
      <c r="C194" s="76">
        <f t="shared" si="0"/>
        <v>3598.4848484848485</v>
      </c>
      <c r="D194" s="76">
        <f t="shared" si="2"/>
        <v>316666.66666666418</v>
      </c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</row>
    <row r="195" spans="1:25" ht="14.25" customHeight="1" x14ac:dyDescent="0.15">
      <c r="A195" s="70">
        <v>177</v>
      </c>
      <c r="B195" s="80">
        <f t="shared" si="1"/>
        <v>923.61111111110392</v>
      </c>
      <c r="C195" s="76">
        <f t="shared" si="0"/>
        <v>3598.4848484848485</v>
      </c>
      <c r="D195" s="76">
        <f t="shared" si="2"/>
        <v>313068.18181817932</v>
      </c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</row>
    <row r="196" spans="1:25" ht="14.25" customHeight="1" x14ac:dyDescent="0.15">
      <c r="A196" s="70">
        <v>178</v>
      </c>
      <c r="B196" s="80">
        <f t="shared" si="1"/>
        <v>913.11553030302309</v>
      </c>
      <c r="C196" s="76">
        <f t="shared" si="0"/>
        <v>3598.4848484848485</v>
      </c>
      <c r="D196" s="76">
        <f t="shared" si="2"/>
        <v>309469.69696969446</v>
      </c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</row>
    <row r="197" spans="1:25" ht="14.25" customHeight="1" x14ac:dyDescent="0.15">
      <c r="A197" s="70">
        <v>179</v>
      </c>
      <c r="B197" s="80">
        <f t="shared" si="1"/>
        <v>902.61994949494226</v>
      </c>
      <c r="C197" s="76">
        <f t="shared" si="0"/>
        <v>3598.4848484848485</v>
      </c>
      <c r="D197" s="76">
        <f t="shared" si="2"/>
        <v>305871.2121212096</v>
      </c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</row>
    <row r="198" spans="1:25" ht="14.25" customHeight="1" x14ac:dyDescent="0.15">
      <c r="A198" s="70">
        <v>180</v>
      </c>
      <c r="B198" s="80">
        <f t="shared" si="1"/>
        <v>892.12436868686143</v>
      </c>
      <c r="C198" s="76">
        <f t="shared" si="0"/>
        <v>3598.4848484848485</v>
      </c>
      <c r="D198" s="76">
        <f t="shared" si="2"/>
        <v>302272.72727272473</v>
      </c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</row>
    <row r="199" spans="1:25" ht="14.25" customHeight="1" x14ac:dyDescent="0.15">
      <c r="A199" s="70">
        <v>181</v>
      </c>
      <c r="B199" s="80">
        <f t="shared" si="1"/>
        <v>881.6287878787806</v>
      </c>
      <c r="C199" s="76">
        <f t="shared" si="0"/>
        <v>3598.4848484848485</v>
      </c>
      <c r="D199" s="76">
        <f t="shared" si="2"/>
        <v>298674.24242423987</v>
      </c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</row>
    <row r="200" spans="1:25" ht="14.25" customHeight="1" x14ac:dyDescent="0.15">
      <c r="A200" s="70">
        <v>182</v>
      </c>
      <c r="B200" s="80">
        <f t="shared" si="1"/>
        <v>871.13320707069977</v>
      </c>
      <c r="C200" s="76">
        <f t="shared" si="0"/>
        <v>3598.4848484848485</v>
      </c>
      <c r="D200" s="76">
        <f t="shared" si="2"/>
        <v>295075.75757575501</v>
      </c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</row>
    <row r="201" spans="1:25" ht="14.25" customHeight="1" x14ac:dyDescent="0.15">
      <c r="A201" s="70">
        <v>183</v>
      </c>
      <c r="B201" s="80">
        <f t="shared" si="1"/>
        <v>860.63762626261894</v>
      </c>
      <c r="C201" s="76">
        <f t="shared" si="0"/>
        <v>3598.4848484848485</v>
      </c>
      <c r="D201" s="76">
        <f t="shared" si="2"/>
        <v>291477.27272727014</v>
      </c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</row>
    <row r="202" spans="1:25" ht="14.25" customHeight="1" x14ac:dyDescent="0.15">
      <c r="A202" s="70">
        <v>184</v>
      </c>
      <c r="B202" s="80">
        <f t="shared" si="1"/>
        <v>850.14204545453811</v>
      </c>
      <c r="C202" s="76">
        <f t="shared" si="0"/>
        <v>3598.4848484848485</v>
      </c>
      <c r="D202" s="76">
        <f t="shared" si="2"/>
        <v>287878.78787878528</v>
      </c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</row>
    <row r="203" spans="1:25" ht="14.25" customHeight="1" x14ac:dyDescent="0.15">
      <c r="A203" s="70">
        <v>185</v>
      </c>
      <c r="B203" s="80">
        <f t="shared" si="1"/>
        <v>839.64646464645705</v>
      </c>
      <c r="C203" s="76">
        <f t="shared" si="0"/>
        <v>3598.4848484848485</v>
      </c>
      <c r="D203" s="76">
        <f t="shared" si="2"/>
        <v>284280.30303030042</v>
      </c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</row>
    <row r="204" spans="1:25" ht="14.25" customHeight="1" x14ac:dyDescent="0.15">
      <c r="A204" s="70">
        <v>186</v>
      </c>
      <c r="B204" s="80">
        <f t="shared" si="1"/>
        <v>829.15088383837622</v>
      </c>
      <c r="C204" s="76">
        <f t="shared" si="0"/>
        <v>3598.4848484848485</v>
      </c>
      <c r="D204" s="76">
        <f t="shared" si="2"/>
        <v>280681.81818181556</v>
      </c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</row>
    <row r="205" spans="1:25" ht="14.25" customHeight="1" x14ac:dyDescent="0.15">
      <c r="A205" s="70">
        <v>187</v>
      </c>
      <c r="B205" s="80">
        <f t="shared" si="1"/>
        <v>818.65530303029539</v>
      </c>
      <c r="C205" s="76">
        <f t="shared" si="0"/>
        <v>3598.4848484848485</v>
      </c>
      <c r="D205" s="76">
        <f t="shared" si="2"/>
        <v>277083.33333333069</v>
      </c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</row>
    <row r="206" spans="1:25" ht="14.25" customHeight="1" x14ac:dyDescent="0.15">
      <c r="A206" s="70">
        <v>188</v>
      </c>
      <c r="B206" s="80">
        <f t="shared" si="1"/>
        <v>808.15972222221455</v>
      </c>
      <c r="C206" s="76">
        <f t="shared" si="0"/>
        <v>3598.4848484848485</v>
      </c>
      <c r="D206" s="76">
        <f t="shared" si="2"/>
        <v>273484.84848484583</v>
      </c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</row>
    <row r="207" spans="1:25" ht="14.25" customHeight="1" x14ac:dyDescent="0.15">
      <c r="A207" s="70">
        <v>189</v>
      </c>
      <c r="B207" s="80">
        <f t="shared" si="1"/>
        <v>797.66414141413372</v>
      </c>
      <c r="C207" s="76">
        <f t="shared" si="0"/>
        <v>3598.4848484848485</v>
      </c>
      <c r="D207" s="76">
        <f t="shared" si="2"/>
        <v>269886.36363636097</v>
      </c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</row>
    <row r="208" spans="1:25" ht="14.25" customHeight="1" x14ac:dyDescent="0.15">
      <c r="A208" s="70">
        <v>190</v>
      </c>
      <c r="B208" s="80">
        <f t="shared" si="1"/>
        <v>787.16856060605289</v>
      </c>
      <c r="C208" s="76">
        <f t="shared" si="0"/>
        <v>3598.4848484848485</v>
      </c>
      <c r="D208" s="76">
        <f t="shared" si="2"/>
        <v>266287.87878787611</v>
      </c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</row>
    <row r="209" spans="1:25" ht="14.25" customHeight="1" x14ac:dyDescent="0.15">
      <c r="A209" s="70">
        <v>191</v>
      </c>
      <c r="B209" s="80">
        <f t="shared" si="1"/>
        <v>776.67297979797206</v>
      </c>
      <c r="C209" s="76">
        <f t="shared" si="0"/>
        <v>3598.4848484848485</v>
      </c>
      <c r="D209" s="76">
        <f t="shared" si="2"/>
        <v>262689.39393939124</v>
      </c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</row>
    <row r="210" spans="1:25" ht="14.25" customHeight="1" x14ac:dyDescent="0.15">
      <c r="A210" s="70">
        <v>192</v>
      </c>
      <c r="B210" s="80">
        <f t="shared" si="1"/>
        <v>766.17739898989123</v>
      </c>
      <c r="C210" s="76">
        <f t="shared" si="0"/>
        <v>3598.4848484848485</v>
      </c>
      <c r="D210" s="76">
        <f t="shared" si="2"/>
        <v>259090.90909090638</v>
      </c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</row>
    <row r="211" spans="1:25" ht="14.25" customHeight="1" x14ac:dyDescent="0.15">
      <c r="A211" s="70">
        <v>193</v>
      </c>
      <c r="B211" s="80">
        <f t="shared" si="1"/>
        <v>755.68181818181029</v>
      </c>
      <c r="C211" s="76">
        <f t="shared" si="0"/>
        <v>3598.4848484848485</v>
      </c>
      <c r="D211" s="76">
        <f t="shared" si="2"/>
        <v>255492.42424242152</v>
      </c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</row>
    <row r="212" spans="1:25" ht="14.25" customHeight="1" x14ac:dyDescent="0.15">
      <c r="A212" s="70">
        <v>194</v>
      </c>
      <c r="B212" s="80">
        <f t="shared" si="1"/>
        <v>745.18623737372945</v>
      </c>
      <c r="C212" s="76">
        <f t="shared" si="0"/>
        <v>3598.4848484848485</v>
      </c>
      <c r="D212" s="76">
        <f t="shared" si="2"/>
        <v>251893.93939393666</v>
      </c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</row>
    <row r="213" spans="1:25" ht="14.25" customHeight="1" x14ac:dyDescent="0.15">
      <c r="A213" s="70">
        <v>195</v>
      </c>
      <c r="B213" s="80">
        <f t="shared" si="1"/>
        <v>734.69065656564862</v>
      </c>
      <c r="C213" s="76">
        <f t="shared" si="0"/>
        <v>3598.4848484848485</v>
      </c>
      <c r="D213" s="76">
        <f t="shared" si="2"/>
        <v>248295.45454545179</v>
      </c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</row>
    <row r="214" spans="1:25" ht="14.25" customHeight="1" x14ac:dyDescent="0.15">
      <c r="A214" s="70">
        <v>196</v>
      </c>
      <c r="B214" s="80">
        <f t="shared" si="1"/>
        <v>724.19507575756779</v>
      </c>
      <c r="C214" s="76">
        <f t="shared" si="0"/>
        <v>3598.4848484848485</v>
      </c>
      <c r="D214" s="76">
        <f t="shared" si="2"/>
        <v>244696.96969696693</v>
      </c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</row>
    <row r="215" spans="1:25" ht="14.25" customHeight="1" x14ac:dyDescent="0.15">
      <c r="A215" s="70">
        <v>197</v>
      </c>
      <c r="B215" s="80">
        <f t="shared" si="1"/>
        <v>713.69949494948696</v>
      </c>
      <c r="C215" s="76">
        <f t="shared" si="0"/>
        <v>3598.4848484848485</v>
      </c>
      <c r="D215" s="76">
        <f t="shared" si="2"/>
        <v>241098.48484848207</v>
      </c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</row>
    <row r="216" spans="1:25" ht="14.25" customHeight="1" x14ac:dyDescent="0.15">
      <c r="A216" s="70">
        <v>198</v>
      </c>
      <c r="B216" s="80">
        <f t="shared" si="1"/>
        <v>703.20391414140613</v>
      </c>
      <c r="C216" s="76">
        <f t="shared" si="0"/>
        <v>3598.4848484848485</v>
      </c>
      <c r="D216" s="76">
        <f t="shared" si="2"/>
        <v>237499.99999999721</v>
      </c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</row>
    <row r="217" spans="1:25" ht="14.25" customHeight="1" x14ac:dyDescent="0.15">
      <c r="A217" s="70">
        <v>199</v>
      </c>
      <c r="B217" s="80">
        <f t="shared" si="1"/>
        <v>692.7083333333253</v>
      </c>
      <c r="C217" s="76">
        <f t="shared" si="0"/>
        <v>3598.4848484848485</v>
      </c>
      <c r="D217" s="76">
        <f t="shared" si="2"/>
        <v>233901.51515151234</v>
      </c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</row>
    <row r="218" spans="1:25" ht="14.25" customHeight="1" x14ac:dyDescent="0.15">
      <c r="A218" s="70">
        <v>200</v>
      </c>
      <c r="B218" s="80">
        <f t="shared" si="1"/>
        <v>682.21275252524435</v>
      </c>
      <c r="C218" s="76">
        <f t="shared" si="0"/>
        <v>3598.4848484848485</v>
      </c>
      <c r="D218" s="76">
        <f t="shared" si="2"/>
        <v>230303.03030302748</v>
      </c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</row>
    <row r="219" spans="1:25" ht="14.25" customHeight="1" x14ac:dyDescent="0.15">
      <c r="A219" s="70">
        <v>201</v>
      </c>
      <c r="B219" s="80">
        <f t="shared" si="1"/>
        <v>671.71717171716352</v>
      </c>
      <c r="C219" s="76">
        <f t="shared" si="0"/>
        <v>3598.4848484848485</v>
      </c>
      <c r="D219" s="76">
        <f t="shared" si="2"/>
        <v>226704.54545454262</v>
      </c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</row>
    <row r="220" spans="1:25" ht="14.25" customHeight="1" x14ac:dyDescent="0.15">
      <c r="A220" s="70">
        <v>202</v>
      </c>
      <c r="B220" s="80">
        <f t="shared" si="1"/>
        <v>661.22159090908269</v>
      </c>
      <c r="C220" s="76">
        <f t="shared" si="0"/>
        <v>3598.4848484848485</v>
      </c>
      <c r="D220" s="76">
        <f t="shared" si="2"/>
        <v>223106.06060605776</v>
      </c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</row>
    <row r="221" spans="1:25" ht="14.25" customHeight="1" x14ac:dyDescent="0.15">
      <c r="A221" s="70">
        <v>203</v>
      </c>
      <c r="B221" s="80">
        <f t="shared" si="1"/>
        <v>650.72601010100186</v>
      </c>
      <c r="C221" s="76">
        <f t="shared" si="0"/>
        <v>3598.4848484848485</v>
      </c>
      <c r="D221" s="76">
        <f t="shared" si="2"/>
        <v>219507.57575757289</v>
      </c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</row>
    <row r="222" spans="1:25" ht="14.25" customHeight="1" x14ac:dyDescent="0.15">
      <c r="A222" s="70">
        <v>204</v>
      </c>
      <c r="B222" s="80">
        <f t="shared" si="1"/>
        <v>640.23042929292103</v>
      </c>
      <c r="C222" s="76">
        <f t="shared" si="0"/>
        <v>3598.4848484848485</v>
      </c>
      <c r="D222" s="76">
        <f t="shared" si="2"/>
        <v>215909.09090908803</v>
      </c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</row>
    <row r="223" spans="1:25" ht="14.25" customHeight="1" x14ac:dyDescent="0.15">
      <c r="A223" s="70">
        <v>205</v>
      </c>
      <c r="B223" s="80">
        <f t="shared" si="1"/>
        <v>629.7348484848402</v>
      </c>
      <c r="C223" s="76">
        <f t="shared" si="0"/>
        <v>3598.4848484848485</v>
      </c>
      <c r="D223" s="76">
        <f t="shared" si="2"/>
        <v>212310.60606060317</v>
      </c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</row>
    <row r="224" spans="1:25" ht="14.25" customHeight="1" x14ac:dyDescent="0.15">
      <c r="A224" s="70">
        <v>206</v>
      </c>
      <c r="B224" s="80">
        <f t="shared" si="1"/>
        <v>619.23926767675937</v>
      </c>
      <c r="C224" s="76">
        <f t="shared" si="0"/>
        <v>3598.4848484848485</v>
      </c>
      <c r="D224" s="76">
        <f t="shared" si="2"/>
        <v>208712.12121211831</v>
      </c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</row>
    <row r="225" spans="1:25" ht="14.25" customHeight="1" x14ac:dyDescent="0.15">
      <c r="A225" s="70">
        <v>207</v>
      </c>
      <c r="B225" s="80">
        <f t="shared" si="1"/>
        <v>608.74368686867842</v>
      </c>
      <c r="C225" s="76">
        <f t="shared" si="0"/>
        <v>3598.4848484848485</v>
      </c>
      <c r="D225" s="76">
        <f t="shared" si="2"/>
        <v>205113.63636363344</v>
      </c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</row>
    <row r="226" spans="1:25" ht="14.25" customHeight="1" x14ac:dyDescent="0.15">
      <c r="A226" s="70">
        <v>208</v>
      </c>
      <c r="B226" s="80">
        <f t="shared" si="1"/>
        <v>598.24810606059759</v>
      </c>
      <c r="C226" s="76">
        <f t="shared" si="0"/>
        <v>3598.4848484848485</v>
      </c>
      <c r="D226" s="76">
        <f t="shared" si="2"/>
        <v>201515.15151514858</v>
      </c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</row>
    <row r="227" spans="1:25" ht="14.25" customHeight="1" x14ac:dyDescent="0.15">
      <c r="A227" s="70">
        <v>209</v>
      </c>
      <c r="B227" s="80">
        <f t="shared" si="1"/>
        <v>587.75252525251676</v>
      </c>
      <c r="C227" s="76">
        <f t="shared" si="0"/>
        <v>3598.4848484848485</v>
      </c>
      <c r="D227" s="76">
        <f t="shared" si="2"/>
        <v>197916.66666666372</v>
      </c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</row>
    <row r="228" spans="1:25" ht="14.25" customHeight="1" x14ac:dyDescent="0.15">
      <c r="A228" s="70">
        <v>210</v>
      </c>
      <c r="B228" s="80">
        <f t="shared" si="1"/>
        <v>577.25694444443593</v>
      </c>
      <c r="C228" s="76">
        <f t="shared" si="0"/>
        <v>3598.4848484848485</v>
      </c>
      <c r="D228" s="76">
        <f t="shared" si="2"/>
        <v>194318.18181817885</v>
      </c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</row>
    <row r="229" spans="1:25" ht="14.25" customHeight="1" x14ac:dyDescent="0.15">
      <c r="A229" s="70">
        <v>211</v>
      </c>
      <c r="B229" s="80">
        <f t="shared" si="1"/>
        <v>566.76136363635499</v>
      </c>
      <c r="C229" s="76">
        <f t="shared" si="0"/>
        <v>3598.4848484848485</v>
      </c>
      <c r="D229" s="76">
        <f t="shared" si="2"/>
        <v>190719.69696969399</v>
      </c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</row>
    <row r="230" spans="1:25" ht="14.25" customHeight="1" x14ac:dyDescent="0.15">
      <c r="A230" s="70">
        <v>212</v>
      </c>
      <c r="B230" s="80">
        <f t="shared" si="1"/>
        <v>556.26578282827415</v>
      </c>
      <c r="C230" s="76">
        <f t="shared" si="0"/>
        <v>3598.4848484848485</v>
      </c>
      <c r="D230" s="76">
        <f t="shared" si="2"/>
        <v>187121.21212120913</v>
      </c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</row>
    <row r="231" spans="1:25" ht="14.25" customHeight="1" x14ac:dyDescent="0.15">
      <c r="A231" s="70">
        <v>213</v>
      </c>
      <c r="B231" s="80">
        <f t="shared" si="1"/>
        <v>545.77020202019332</v>
      </c>
      <c r="C231" s="76">
        <f t="shared" si="0"/>
        <v>3598.4848484848485</v>
      </c>
      <c r="D231" s="76">
        <f t="shared" si="2"/>
        <v>183522.72727272427</v>
      </c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</row>
    <row r="232" spans="1:25" ht="14.25" customHeight="1" x14ac:dyDescent="0.15">
      <c r="A232" s="70">
        <v>214</v>
      </c>
      <c r="B232" s="80">
        <f t="shared" si="1"/>
        <v>535.27462121211249</v>
      </c>
      <c r="C232" s="76">
        <f t="shared" si="0"/>
        <v>3598.4848484848485</v>
      </c>
      <c r="D232" s="76">
        <f t="shared" si="2"/>
        <v>179924.2424242394</v>
      </c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</row>
    <row r="233" spans="1:25" ht="14.25" customHeight="1" x14ac:dyDescent="0.15">
      <c r="A233" s="70">
        <v>215</v>
      </c>
      <c r="B233" s="80">
        <f t="shared" si="1"/>
        <v>524.77904040403166</v>
      </c>
      <c r="C233" s="76">
        <f t="shared" si="0"/>
        <v>3598.4848484848485</v>
      </c>
      <c r="D233" s="76">
        <f t="shared" si="2"/>
        <v>176325.75757575454</v>
      </c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</row>
    <row r="234" spans="1:25" ht="14.25" customHeight="1" x14ac:dyDescent="0.15">
      <c r="A234" s="70">
        <v>216</v>
      </c>
      <c r="B234" s="80">
        <f t="shared" si="1"/>
        <v>514.28345959595083</v>
      </c>
      <c r="C234" s="76">
        <f t="shared" si="0"/>
        <v>3598.4848484848485</v>
      </c>
      <c r="D234" s="76">
        <f t="shared" si="2"/>
        <v>172727.27272726968</v>
      </c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</row>
    <row r="235" spans="1:25" ht="14.25" customHeight="1" x14ac:dyDescent="0.15">
      <c r="A235" s="70">
        <v>217</v>
      </c>
      <c r="B235" s="80">
        <f t="shared" si="1"/>
        <v>503.78787878786994</v>
      </c>
      <c r="C235" s="76">
        <f t="shared" si="0"/>
        <v>3598.4848484848485</v>
      </c>
      <c r="D235" s="76">
        <f t="shared" si="2"/>
        <v>169128.78787878482</v>
      </c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</row>
    <row r="236" spans="1:25" ht="14.25" customHeight="1" x14ac:dyDescent="0.15">
      <c r="A236" s="70">
        <v>218</v>
      </c>
      <c r="B236" s="80">
        <f t="shared" si="1"/>
        <v>493.29229797978911</v>
      </c>
      <c r="C236" s="76">
        <f t="shared" si="0"/>
        <v>3598.4848484848485</v>
      </c>
      <c r="D236" s="76">
        <f t="shared" si="2"/>
        <v>165530.30303029995</v>
      </c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</row>
    <row r="237" spans="1:25" ht="14.25" customHeight="1" x14ac:dyDescent="0.15">
      <c r="A237" s="70">
        <v>219</v>
      </c>
      <c r="B237" s="80">
        <f t="shared" si="1"/>
        <v>482.79671717170822</v>
      </c>
      <c r="C237" s="76">
        <f t="shared" si="0"/>
        <v>3598.4848484848485</v>
      </c>
      <c r="D237" s="76">
        <f t="shared" si="2"/>
        <v>161931.81818181509</v>
      </c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</row>
    <row r="238" spans="1:25" ht="14.25" customHeight="1" x14ac:dyDescent="0.15">
      <c r="A238" s="70">
        <v>220</v>
      </c>
      <c r="B238" s="80">
        <f t="shared" si="1"/>
        <v>472.30113636362739</v>
      </c>
      <c r="C238" s="76">
        <f t="shared" si="0"/>
        <v>3598.4848484848485</v>
      </c>
      <c r="D238" s="76">
        <f t="shared" si="2"/>
        <v>158333.33333333023</v>
      </c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</row>
    <row r="239" spans="1:25" ht="14.25" customHeight="1" x14ac:dyDescent="0.15">
      <c r="A239" s="70">
        <v>221</v>
      </c>
      <c r="B239" s="80">
        <f t="shared" si="1"/>
        <v>461.80555555554656</v>
      </c>
      <c r="C239" s="76">
        <f t="shared" si="0"/>
        <v>3598.4848484848485</v>
      </c>
      <c r="D239" s="76">
        <f t="shared" si="2"/>
        <v>154734.84848484537</v>
      </c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</row>
    <row r="240" spans="1:25" ht="14.25" customHeight="1" x14ac:dyDescent="0.15">
      <c r="A240" s="70">
        <v>222</v>
      </c>
      <c r="B240" s="80">
        <f t="shared" si="1"/>
        <v>451.30997474746573</v>
      </c>
      <c r="C240" s="76">
        <f t="shared" si="0"/>
        <v>3598.4848484848485</v>
      </c>
      <c r="D240" s="76">
        <f t="shared" si="2"/>
        <v>151136.3636363605</v>
      </c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</row>
    <row r="241" spans="1:25" ht="14.25" customHeight="1" x14ac:dyDescent="0.15">
      <c r="A241" s="70">
        <v>223</v>
      </c>
      <c r="B241" s="80">
        <f t="shared" si="1"/>
        <v>440.81439393938484</v>
      </c>
      <c r="C241" s="76">
        <f t="shared" si="0"/>
        <v>3598.4848484848485</v>
      </c>
      <c r="D241" s="76">
        <f t="shared" si="2"/>
        <v>147537.87878787564</v>
      </c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</row>
    <row r="242" spans="1:25" ht="14.25" customHeight="1" x14ac:dyDescent="0.15">
      <c r="A242" s="70">
        <v>224</v>
      </c>
      <c r="B242" s="80">
        <f t="shared" si="1"/>
        <v>430.31881313130401</v>
      </c>
      <c r="C242" s="76">
        <f t="shared" si="0"/>
        <v>3598.4848484848485</v>
      </c>
      <c r="D242" s="76">
        <f t="shared" si="2"/>
        <v>143939.39393939078</v>
      </c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</row>
    <row r="243" spans="1:25" ht="14.25" customHeight="1" x14ac:dyDescent="0.15">
      <c r="A243" s="70">
        <v>225</v>
      </c>
      <c r="B243" s="80">
        <f t="shared" si="1"/>
        <v>419.82323232322318</v>
      </c>
      <c r="C243" s="76">
        <f t="shared" si="0"/>
        <v>3598.4848484848485</v>
      </c>
      <c r="D243" s="76">
        <f t="shared" si="2"/>
        <v>140340.90909090592</v>
      </c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</row>
    <row r="244" spans="1:25" ht="14.25" customHeight="1" x14ac:dyDescent="0.15">
      <c r="A244" s="70">
        <v>226</v>
      </c>
      <c r="B244" s="80">
        <f t="shared" si="1"/>
        <v>409.32765151514235</v>
      </c>
      <c r="C244" s="76">
        <f t="shared" si="0"/>
        <v>3598.4848484848485</v>
      </c>
      <c r="D244" s="76">
        <f t="shared" si="2"/>
        <v>136742.42424242105</v>
      </c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</row>
    <row r="245" spans="1:25" ht="14.25" customHeight="1" x14ac:dyDescent="0.15">
      <c r="A245" s="70">
        <v>227</v>
      </c>
      <c r="B245" s="80">
        <f t="shared" si="1"/>
        <v>398.8320707070614</v>
      </c>
      <c r="C245" s="76">
        <f t="shared" si="0"/>
        <v>3598.4848484848485</v>
      </c>
      <c r="D245" s="76">
        <f t="shared" si="2"/>
        <v>133143.93939393619</v>
      </c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</row>
    <row r="246" spans="1:25" ht="14.25" customHeight="1" x14ac:dyDescent="0.15">
      <c r="A246" s="70">
        <v>228</v>
      </c>
      <c r="B246" s="80">
        <f t="shared" si="1"/>
        <v>388.33648989898057</v>
      </c>
      <c r="C246" s="76">
        <f t="shared" si="0"/>
        <v>3598.4848484848485</v>
      </c>
      <c r="D246" s="76">
        <f t="shared" si="2"/>
        <v>129545.45454545134</v>
      </c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</row>
    <row r="247" spans="1:25" ht="14.25" customHeight="1" x14ac:dyDescent="0.15">
      <c r="A247" s="70">
        <v>229</v>
      </c>
      <c r="B247" s="80">
        <f t="shared" si="1"/>
        <v>377.84090909089974</v>
      </c>
      <c r="C247" s="76">
        <f t="shared" si="0"/>
        <v>3598.4848484848485</v>
      </c>
      <c r="D247" s="76">
        <f t="shared" si="2"/>
        <v>125946.96969696649</v>
      </c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</row>
    <row r="248" spans="1:25" ht="14.25" customHeight="1" x14ac:dyDescent="0.15">
      <c r="A248" s="70">
        <v>230</v>
      </c>
      <c r="B248" s="80">
        <f t="shared" si="1"/>
        <v>367.34532828281903</v>
      </c>
      <c r="C248" s="76">
        <f t="shared" si="0"/>
        <v>3598.4848484848485</v>
      </c>
      <c r="D248" s="76">
        <f t="shared" si="2"/>
        <v>122348.48484848165</v>
      </c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</row>
    <row r="249" spans="1:25" ht="14.25" customHeight="1" x14ac:dyDescent="0.15">
      <c r="A249" s="70">
        <v>231</v>
      </c>
      <c r="B249" s="80">
        <f t="shared" si="1"/>
        <v>356.84974747473819</v>
      </c>
      <c r="C249" s="76">
        <f t="shared" si="0"/>
        <v>3598.4848484848485</v>
      </c>
      <c r="D249" s="76">
        <f t="shared" si="2"/>
        <v>118749.9999999968</v>
      </c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</row>
    <row r="250" spans="1:25" ht="14.25" customHeight="1" x14ac:dyDescent="0.15">
      <c r="A250" s="70">
        <v>232</v>
      </c>
      <c r="B250" s="80">
        <f t="shared" si="1"/>
        <v>346.35416666665736</v>
      </c>
      <c r="C250" s="76">
        <f t="shared" si="0"/>
        <v>3598.4848484848485</v>
      </c>
      <c r="D250" s="76">
        <f t="shared" si="2"/>
        <v>115151.51515151195</v>
      </c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</row>
    <row r="251" spans="1:25" ht="14.25" customHeight="1" x14ac:dyDescent="0.15">
      <c r="A251" s="70">
        <v>233</v>
      </c>
      <c r="B251" s="80">
        <f t="shared" si="1"/>
        <v>335.85858585857653</v>
      </c>
      <c r="C251" s="76">
        <f t="shared" si="0"/>
        <v>3598.4848484848485</v>
      </c>
      <c r="D251" s="76">
        <f t="shared" si="2"/>
        <v>111553.0303030271</v>
      </c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</row>
    <row r="252" spans="1:25" ht="14.25" customHeight="1" x14ac:dyDescent="0.15">
      <c r="A252" s="70">
        <v>234</v>
      </c>
      <c r="B252" s="80">
        <f t="shared" si="1"/>
        <v>325.36300505049576</v>
      </c>
      <c r="C252" s="76">
        <f t="shared" si="0"/>
        <v>3598.4848484848485</v>
      </c>
      <c r="D252" s="76">
        <f t="shared" si="2"/>
        <v>107954.54545454225</v>
      </c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</row>
    <row r="253" spans="1:25" ht="14.25" customHeight="1" x14ac:dyDescent="0.15">
      <c r="A253" s="70">
        <v>235</v>
      </c>
      <c r="B253" s="80">
        <f t="shared" si="1"/>
        <v>314.86742424241493</v>
      </c>
      <c r="C253" s="76">
        <f t="shared" si="0"/>
        <v>3598.4848484848485</v>
      </c>
      <c r="D253" s="76">
        <f t="shared" si="2"/>
        <v>104356.06060605741</v>
      </c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</row>
    <row r="254" spans="1:25" ht="14.25" customHeight="1" x14ac:dyDescent="0.15">
      <c r="A254" s="70">
        <v>236</v>
      </c>
      <c r="B254" s="80">
        <f t="shared" si="1"/>
        <v>304.37184343433415</v>
      </c>
      <c r="C254" s="76">
        <f t="shared" si="0"/>
        <v>3598.4848484848485</v>
      </c>
      <c r="D254" s="76">
        <f t="shared" si="2"/>
        <v>100757.57575757256</v>
      </c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</row>
    <row r="255" spans="1:25" ht="14.25" customHeight="1" x14ac:dyDescent="0.15">
      <c r="A255" s="70">
        <v>237</v>
      </c>
      <c r="B255" s="80">
        <f t="shared" si="1"/>
        <v>293.87626262625332</v>
      </c>
      <c r="C255" s="76">
        <f t="shared" si="0"/>
        <v>3598.4848484848485</v>
      </c>
      <c r="D255" s="76">
        <f t="shared" si="2"/>
        <v>97159.09090908771</v>
      </c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</row>
    <row r="256" spans="1:25" ht="14.25" customHeight="1" x14ac:dyDescent="0.15">
      <c r="A256" s="70">
        <v>238</v>
      </c>
      <c r="B256" s="80">
        <f t="shared" si="1"/>
        <v>283.38068181817249</v>
      </c>
      <c r="C256" s="76">
        <f t="shared" si="0"/>
        <v>3598.4848484848485</v>
      </c>
      <c r="D256" s="76">
        <f t="shared" si="2"/>
        <v>93560.606060602862</v>
      </c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</row>
    <row r="257" spans="1:25" ht="14.25" customHeight="1" x14ac:dyDescent="0.15">
      <c r="A257" s="70">
        <v>239</v>
      </c>
      <c r="B257" s="80">
        <f t="shared" si="1"/>
        <v>272.88510101009172</v>
      </c>
      <c r="C257" s="76">
        <f t="shared" si="0"/>
        <v>3598.4848484848485</v>
      </c>
      <c r="D257" s="76">
        <f t="shared" si="2"/>
        <v>89962.121212118014</v>
      </c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</row>
    <row r="258" spans="1:25" ht="14.25" customHeight="1" x14ac:dyDescent="0.15">
      <c r="A258" s="70">
        <v>240</v>
      </c>
      <c r="B258" s="80">
        <f t="shared" si="1"/>
        <v>262.38952020201089</v>
      </c>
      <c r="C258" s="76">
        <f t="shared" si="0"/>
        <v>3598.4848484848485</v>
      </c>
      <c r="D258" s="76">
        <f t="shared" si="2"/>
        <v>86363.636363633166</v>
      </c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</row>
    <row r="259" spans="1:25" ht="14.25" customHeight="1" x14ac:dyDescent="0.15">
      <c r="A259" s="70">
        <v>241</v>
      </c>
      <c r="B259" s="80">
        <f t="shared" si="1"/>
        <v>251.89393939393008</v>
      </c>
      <c r="C259" s="76">
        <f t="shared" si="0"/>
        <v>3598.4848484848485</v>
      </c>
      <c r="D259" s="76">
        <f t="shared" si="2"/>
        <v>82765.151515148318</v>
      </c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</row>
    <row r="260" spans="1:25" ht="14.25" customHeight="1" x14ac:dyDescent="0.15">
      <c r="A260" s="70">
        <v>242</v>
      </c>
      <c r="B260" s="80">
        <f t="shared" si="1"/>
        <v>241.39835858584931</v>
      </c>
      <c r="C260" s="76">
        <f t="shared" si="0"/>
        <v>3598.4848484848485</v>
      </c>
      <c r="D260" s="76">
        <f t="shared" si="2"/>
        <v>79166.66666666347</v>
      </c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</row>
    <row r="261" spans="1:25" ht="14.25" customHeight="1" x14ac:dyDescent="0.15">
      <c r="A261" s="70">
        <v>243</v>
      </c>
      <c r="B261" s="80">
        <f t="shared" si="1"/>
        <v>230.90277777776848</v>
      </c>
      <c r="C261" s="76">
        <f t="shared" si="0"/>
        <v>3598.4848484848485</v>
      </c>
      <c r="D261" s="76">
        <f t="shared" si="2"/>
        <v>75568.181818178622</v>
      </c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</row>
    <row r="262" spans="1:25" ht="14.25" customHeight="1" x14ac:dyDescent="0.15">
      <c r="A262" s="70">
        <v>244</v>
      </c>
      <c r="B262" s="80">
        <f t="shared" si="1"/>
        <v>220.40719696968767</v>
      </c>
      <c r="C262" s="76">
        <f t="shared" si="0"/>
        <v>3598.4848484848485</v>
      </c>
      <c r="D262" s="76">
        <f t="shared" si="2"/>
        <v>71969.696969693774</v>
      </c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</row>
    <row r="263" spans="1:25" ht="14.25" customHeight="1" x14ac:dyDescent="0.15">
      <c r="A263" s="70">
        <v>245</v>
      </c>
      <c r="B263" s="80">
        <f t="shared" si="1"/>
        <v>209.91161616160684</v>
      </c>
      <c r="C263" s="76">
        <f t="shared" si="0"/>
        <v>3598.4848484848485</v>
      </c>
      <c r="D263" s="76">
        <f t="shared" si="2"/>
        <v>68371.212121208926</v>
      </c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</row>
    <row r="264" spans="1:25" ht="14.25" customHeight="1" x14ac:dyDescent="0.15">
      <c r="A264" s="70">
        <v>246</v>
      </c>
      <c r="B264" s="80">
        <f t="shared" si="1"/>
        <v>199.41603535352604</v>
      </c>
      <c r="C264" s="76">
        <f t="shared" si="0"/>
        <v>3598.4848484848485</v>
      </c>
      <c r="D264" s="76">
        <f t="shared" si="2"/>
        <v>64772.727272724078</v>
      </c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</row>
    <row r="265" spans="1:25" ht="14.25" customHeight="1" x14ac:dyDescent="0.15">
      <c r="A265" s="70">
        <v>247</v>
      </c>
      <c r="B265" s="80">
        <f t="shared" si="1"/>
        <v>188.92045454544527</v>
      </c>
      <c r="C265" s="76">
        <f t="shared" si="0"/>
        <v>3598.4848484848485</v>
      </c>
      <c r="D265" s="76">
        <f t="shared" si="2"/>
        <v>61174.24242423923</v>
      </c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</row>
    <row r="266" spans="1:25" ht="14.25" customHeight="1" x14ac:dyDescent="0.15">
      <c r="A266" s="70">
        <v>248</v>
      </c>
      <c r="B266" s="80">
        <f t="shared" si="1"/>
        <v>178.42487373736444</v>
      </c>
      <c r="C266" s="76">
        <f t="shared" si="0"/>
        <v>3598.4848484848485</v>
      </c>
      <c r="D266" s="76">
        <f t="shared" si="2"/>
        <v>57575.757575754382</v>
      </c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</row>
    <row r="267" spans="1:25" ht="14.25" customHeight="1" x14ac:dyDescent="0.15">
      <c r="A267" s="70">
        <v>249</v>
      </c>
      <c r="B267" s="80">
        <f t="shared" si="1"/>
        <v>167.92929292928363</v>
      </c>
      <c r="C267" s="76">
        <f t="shared" si="0"/>
        <v>3598.4848484848485</v>
      </c>
      <c r="D267" s="76">
        <f t="shared" si="2"/>
        <v>53977.272727269534</v>
      </c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</row>
    <row r="268" spans="1:25" ht="14.25" customHeight="1" x14ac:dyDescent="0.15">
      <c r="A268" s="70">
        <v>250</v>
      </c>
      <c r="B268" s="80">
        <f t="shared" si="1"/>
        <v>157.43371212120283</v>
      </c>
      <c r="C268" s="76">
        <f t="shared" si="0"/>
        <v>3598.4848484848485</v>
      </c>
      <c r="D268" s="76">
        <f t="shared" si="2"/>
        <v>50378.787878784686</v>
      </c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</row>
    <row r="269" spans="1:25" ht="14.25" customHeight="1" x14ac:dyDescent="0.15">
      <c r="A269" s="70">
        <v>251</v>
      </c>
      <c r="B269" s="80">
        <f t="shared" si="1"/>
        <v>146.938131313122</v>
      </c>
      <c r="C269" s="76">
        <f t="shared" si="0"/>
        <v>3598.4848484848485</v>
      </c>
      <c r="D269" s="76">
        <f t="shared" si="2"/>
        <v>46780.303030299838</v>
      </c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</row>
    <row r="270" spans="1:25" ht="14.25" customHeight="1" x14ac:dyDescent="0.15">
      <c r="A270" s="70">
        <v>252</v>
      </c>
      <c r="B270" s="80">
        <f t="shared" si="1"/>
        <v>136.4425505050412</v>
      </c>
      <c r="C270" s="76">
        <f t="shared" si="0"/>
        <v>3598.4848484848485</v>
      </c>
      <c r="D270" s="76">
        <f t="shared" si="2"/>
        <v>43181.81818181499</v>
      </c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</row>
    <row r="271" spans="1:25" ht="14.25" customHeight="1" x14ac:dyDescent="0.15">
      <c r="A271" s="70">
        <v>253</v>
      </c>
      <c r="B271" s="80">
        <f t="shared" si="1"/>
        <v>125.94696969696041</v>
      </c>
      <c r="C271" s="76">
        <f t="shared" si="0"/>
        <v>3598.4848484848485</v>
      </c>
      <c r="D271" s="76">
        <f t="shared" si="2"/>
        <v>39583.333333330142</v>
      </c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</row>
    <row r="272" spans="1:25" ht="14.25" customHeight="1" x14ac:dyDescent="0.15">
      <c r="A272" s="70">
        <v>254</v>
      </c>
      <c r="B272" s="80">
        <f t="shared" si="1"/>
        <v>115.45138888887959</v>
      </c>
      <c r="C272" s="76">
        <f t="shared" si="0"/>
        <v>3598.4848484848485</v>
      </c>
      <c r="D272" s="76">
        <f t="shared" si="2"/>
        <v>35984.848484845294</v>
      </c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</row>
    <row r="273" spans="1:25" ht="14.25" customHeight="1" x14ac:dyDescent="0.15">
      <c r="A273" s="70">
        <v>255</v>
      </c>
      <c r="B273" s="80">
        <f t="shared" si="1"/>
        <v>104.95580808079877</v>
      </c>
      <c r="C273" s="76">
        <f t="shared" si="0"/>
        <v>3598.4848484848485</v>
      </c>
      <c r="D273" s="76">
        <f t="shared" si="2"/>
        <v>32386.363636360446</v>
      </c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</row>
    <row r="274" spans="1:25" ht="14.25" customHeight="1" x14ac:dyDescent="0.15">
      <c r="A274" s="70">
        <v>256</v>
      </c>
      <c r="B274" s="80">
        <f t="shared" si="1"/>
        <v>94.460227272717972</v>
      </c>
      <c r="C274" s="76">
        <f t="shared" ref="C274:C378" si="3">$C$8/$C$10</f>
        <v>3598.4848484848485</v>
      </c>
      <c r="D274" s="76">
        <f t="shared" si="2"/>
        <v>28787.878787875597</v>
      </c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</row>
    <row r="275" spans="1:25" ht="14.25" customHeight="1" x14ac:dyDescent="0.15">
      <c r="A275" s="70">
        <v>257</v>
      </c>
      <c r="B275" s="80">
        <f t="shared" ref="B275:B378" si="4">IF(D274&lt;=0,"",D274*$C$9/12)</f>
        <v>83.96464646463717</v>
      </c>
      <c r="C275" s="76">
        <f t="shared" si="3"/>
        <v>3598.4848484848485</v>
      </c>
      <c r="D275" s="76">
        <f t="shared" ref="D275:D378" si="5">D274-C275</f>
        <v>25189.393939390749</v>
      </c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</row>
    <row r="276" spans="1:25" ht="14.25" customHeight="1" x14ac:dyDescent="0.15">
      <c r="A276" s="70">
        <v>258</v>
      </c>
      <c r="B276" s="80">
        <f t="shared" si="4"/>
        <v>73.469065656556367</v>
      </c>
      <c r="C276" s="76">
        <f t="shared" si="3"/>
        <v>3598.4848484848485</v>
      </c>
      <c r="D276" s="76">
        <f t="shared" si="5"/>
        <v>21590.909090905901</v>
      </c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</row>
    <row r="277" spans="1:25" ht="14.25" customHeight="1" x14ac:dyDescent="0.15">
      <c r="A277" s="70">
        <v>259</v>
      </c>
      <c r="B277" s="80">
        <f t="shared" si="4"/>
        <v>62.97348484847555</v>
      </c>
      <c r="C277" s="76">
        <f t="shared" si="3"/>
        <v>3598.4848484848485</v>
      </c>
      <c r="D277" s="76">
        <f t="shared" si="5"/>
        <v>17992.424242421053</v>
      </c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</row>
    <row r="278" spans="1:25" ht="14.25" customHeight="1" x14ac:dyDescent="0.15">
      <c r="A278" s="70">
        <v>260</v>
      </c>
      <c r="B278" s="80">
        <f t="shared" si="4"/>
        <v>52.477904040394748</v>
      </c>
      <c r="C278" s="76">
        <f t="shared" si="3"/>
        <v>3598.4848484848485</v>
      </c>
      <c r="D278" s="76">
        <f t="shared" si="5"/>
        <v>14393.939393936205</v>
      </c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</row>
    <row r="279" spans="1:25" ht="14.25" customHeight="1" x14ac:dyDescent="0.15">
      <c r="A279" s="70">
        <v>261</v>
      </c>
      <c r="B279" s="80">
        <f t="shared" si="4"/>
        <v>41.982323232313938</v>
      </c>
      <c r="C279" s="76">
        <f t="shared" si="3"/>
        <v>3598.4848484848485</v>
      </c>
      <c r="D279" s="76">
        <f t="shared" si="5"/>
        <v>10795.454545451357</v>
      </c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</row>
    <row r="280" spans="1:25" ht="14.25" customHeight="1" x14ac:dyDescent="0.15">
      <c r="A280" s="70">
        <v>262</v>
      </c>
      <c r="B280" s="80">
        <f t="shared" si="4"/>
        <v>31.486742424233128</v>
      </c>
      <c r="C280" s="76">
        <f t="shared" si="3"/>
        <v>3598.4848484848485</v>
      </c>
      <c r="D280" s="76">
        <f t="shared" si="5"/>
        <v>7196.9696969665092</v>
      </c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</row>
    <row r="281" spans="1:25" ht="14.25" customHeight="1" x14ac:dyDescent="0.15">
      <c r="A281" s="70">
        <v>263</v>
      </c>
      <c r="B281" s="80">
        <f t="shared" si="4"/>
        <v>20.991161616152322</v>
      </c>
      <c r="C281" s="76">
        <f t="shared" si="3"/>
        <v>3598.4848484848485</v>
      </c>
      <c r="D281" s="76">
        <f t="shared" si="5"/>
        <v>3598.4848484816607</v>
      </c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</row>
    <row r="282" spans="1:25" ht="14.25" customHeight="1" x14ac:dyDescent="0.15">
      <c r="A282" s="70">
        <v>264</v>
      </c>
      <c r="B282" s="80">
        <f t="shared" si="4"/>
        <v>10.495580808071511</v>
      </c>
      <c r="C282" s="76">
        <f t="shared" si="3"/>
        <v>3598.4848484848485</v>
      </c>
      <c r="D282" s="76">
        <f t="shared" si="5"/>
        <v>-3.1877789297141135E-9</v>
      </c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</row>
    <row r="283" spans="1:25" ht="14.25" customHeight="1" x14ac:dyDescent="0.15">
      <c r="A283" s="70">
        <v>265</v>
      </c>
      <c r="B283" s="80" t="str">
        <f t="shared" si="4"/>
        <v/>
      </c>
      <c r="C283" s="76">
        <f t="shared" si="3"/>
        <v>3598.4848484848485</v>
      </c>
      <c r="D283" s="76">
        <f t="shared" si="5"/>
        <v>-3598.4848484880363</v>
      </c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</row>
    <row r="284" spans="1:25" ht="14.25" customHeight="1" x14ac:dyDescent="0.15">
      <c r="A284" s="70">
        <v>266</v>
      </c>
      <c r="B284" s="80" t="str">
        <f t="shared" si="4"/>
        <v/>
      </c>
      <c r="C284" s="76">
        <f t="shared" si="3"/>
        <v>3598.4848484848485</v>
      </c>
      <c r="D284" s="76">
        <f t="shared" si="5"/>
        <v>-7196.9696969728848</v>
      </c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</row>
    <row r="285" spans="1:25" ht="14.25" customHeight="1" x14ac:dyDescent="0.15">
      <c r="A285" s="70">
        <v>267</v>
      </c>
      <c r="B285" s="80" t="str">
        <f t="shared" si="4"/>
        <v/>
      </c>
      <c r="C285" s="76">
        <f t="shared" si="3"/>
        <v>3598.4848484848485</v>
      </c>
      <c r="D285" s="76">
        <f t="shared" si="5"/>
        <v>-10795.454545457733</v>
      </c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</row>
    <row r="286" spans="1:25" ht="14.25" customHeight="1" x14ac:dyDescent="0.15">
      <c r="A286" s="70">
        <v>268</v>
      </c>
      <c r="B286" s="80" t="str">
        <f t="shared" si="4"/>
        <v/>
      </c>
      <c r="C286" s="76">
        <f t="shared" si="3"/>
        <v>3598.4848484848485</v>
      </c>
      <c r="D286" s="76">
        <f t="shared" si="5"/>
        <v>-14393.939393942581</v>
      </c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</row>
    <row r="287" spans="1:25" ht="14.25" customHeight="1" x14ac:dyDescent="0.15">
      <c r="A287" s="70">
        <v>269</v>
      </c>
      <c r="B287" s="80" t="str">
        <f t="shared" si="4"/>
        <v/>
      </c>
      <c r="C287" s="76">
        <f t="shared" si="3"/>
        <v>3598.4848484848485</v>
      </c>
      <c r="D287" s="76">
        <f t="shared" si="5"/>
        <v>-17992.424242427431</v>
      </c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</row>
    <row r="288" spans="1:25" ht="14.25" customHeight="1" x14ac:dyDescent="0.15">
      <c r="A288" s="70">
        <v>270</v>
      </c>
      <c r="B288" s="80" t="str">
        <f t="shared" si="4"/>
        <v/>
      </c>
      <c r="C288" s="76">
        <f t="shared" si="3"/>
        <v>3598.4848484848485</v>
      </c>
      <c r="D288" s="76">
        <f t="shared" si="5"/>
        <v>-21590.909090912279</v>
      </c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</row>
    <row r="289" spans="1:25" ht="14.25" customHeight="1" x14ac:dyDescent="0.15">
      <c r="A289" s="70">
        <v>271</v>
      </c>
      <c r="B289" s="80" t="str">
        <f t="shared" si="4"/>
        <v/>
      </c>
      <c r="C289" s="76">
        <f t="shared" si="3"/>
        <v>3598.4848484848485</v>
      </c>
      <c r="D289" s="76">
        <f t="shared" si="5"/>
        <v>-25189.393939397127</v>
      </c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</row>
    <row r="290" spans="1:25" ht="14.25" customHeight="1" x14ac:dyDescent="0.15">
      <c r="A290" s="70">
        <v>272</v>
      </c>
      <c r="B290" s="80" t="str">
        <f t="shared" si="4"/>
        <v/>
      </c>
      <c r="C290" s="76">
        <f t="shared" si="3"/>
        <v>3598.4848484848485</v>
      </c>
      <c r="D290" s="76">
        <f t="shared" si="5"/>
        <v>-28787.878787881975</v>
      </c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</row>
    <row r="291" spans="1:25" ht="14.25" customHeight="1" x14ac:dyDescent="0.15">
      <c r="A291" s="70">
        <v>273</v>
      </c>
      <c r="B291" s="80" t="str">
        <f t="shared" si="4"/>
        <v/>
      </c>
      <c r="C291" s="76">
        <f t="shared" si="3"/>
        <v>3598.4848484848485</v>
      </c>
      <c r="D291" s="76">
        <f t="shared" si="5"/>
        <v>-32386.363636366823</v>
      </c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</row>
    <row r="292" spans="1:25" ht="14.25" customHeight="1" x14ac:dyDescent="0.15">
      <c r="A292" s="70">
        <v>274</v>
      </c>
      <c r="B292" s="80" t="str">
        <f t="shared" si="4"/>
        <v/>
      </c>
      <c r="C292" s="76">
        <f t="shared" si="3"/>
        <v>3598.4848484848485</v>
      </c>
      <c r="D292" s="76">
        <f t="shared" si="5"/>
        <v>-35984.848484851675</v>
      </c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</row>
    <row r="293" spans="1:25" ht="14.25" customHeight="1" x14ac:dyDescent="0.15">
      <c r="A293" s="70">
        <v>275</v>
      </c>
      <c r="B293" s="80" t="str">
        <f t="shared" si="4"/>
        <v/>
      </c>
      <c r="C293" s="76">
        <f t="shared" si="3"/>
        <v>3598.4848484848485</v>
      </c>
      <c r="D293" s="76">
        <f t="shared" si="5"/>
        <v>-39583.333333336523</v>
      </c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</row>
    <row r="294" spans="1:25" ht="14.25" customHeight="1" x14ac:dyDescent="0.15">
      <c r="A294" s="70">
        <v>276</v>
      </c>
      <c r="B294" s="80" t="str">
        <f t="shared" si="4"/>
        <v/>
      </c>
      <c r="C294" s="76">
        <f t="shared" si="3"/>
        <v>3598.4848484848485</v>
      </c>
      <c r="D294" s="76">
        <f t="shared" si="5"/>
        <v>-43181.818181821371</v>
      </c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</row>
    <row r="295" spans="1:25" ht="14.25" customHeight="1" x14ac:dyDescent="0.15">
      <c r="A295" s="70">
        <v>277</v>
      </c>
      <c r="B295" s="80" t="str">
        <f t="shared" si="4"/>
        <v/>
      </c>
      <c r="C295" s="76">
        <f t="shared" si="3"/>
        <v>3598.4848484848485</v>
      </c>
      <c r="D295" s="76">
        <f t="shared" si="5"/>
        <v>-46780.303030306219</v>
      </c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</row>
    <row r="296" spans="1:25" ht="14.25" customHeight="1" x14ac:dyDescent="0.15">
      <c r="A296" s="70">
        <v>278</v>
      </c>
      <c r="B296" s="80" t="str">
        <f t="shared" si="4"/>
        <v/>
      </c>
      <c r="C296" s="76">
        <f t="shared" si="3"/>
        <v>3598.4848484848485</v>
      </c>
      <c r="D296" s="76">
        <f t="shared" si="5"/>
        <v>-50378.787878791067</v>
      </c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</row>
    <row r="297" spans="1:25" ht="14.25" customHeight="1" x14ac:dyDescent="0.15">
      <c r="A297" s="70">
        <v>279</v>
      </c>
      <c r="B297" s="80" t="str">
        <f t="shared" si="4"/>
        <v/>
      </c>
      <c r="C297" s="76">
        <f t="shared" si="3"/>
        <v>3598.4848484848485</v>
      </c>
      <c r="D297" s="76">
        <f t="shared" si="5"/>
        <v>-53977.272727275915</v>
      </c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</row>
    <row r="298" spans="1:25" ht="14.25" customHeight="1" x14ac:dyDescent="0.15">
      <c r="A298" s="70">
        <v>280</v>
      </c>
      <c r="B298" s="80" t="str">
        <f t="shared" si="4"/>
        <v/>
      </c>
      <c r="C298" s="76">
        <f t="shared" si="3"/>
        <v>3598.4848484848485</v>
      </c>
      <c r="D298" s="76">
        <f t="shared" si="5"/>
        <v>-57575.757575760763</v>
      </c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</row>
    <row r="299" spans="1:25" ht="14.25" customHeight="1" x14ac:dyDescent="0.15">
      <c r="A299" s="70">
        <v>281</v>
      </c>
      <c r="B299" s="80" t="str">
        <f t="shared" si="4"/>
        <v/>
      </c>
      <c r="C299" s="76">
        <f t="shared" si="3"/>
        <v>3598.4848484848485</v>
      </c>
      <c r="D299" s="76">
        <f t="shared" si="5"/>
        <v>-61174.242424245611</v>
      </c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</row>
    <row r="300" spans="1:25" ht="14.25" customHeight="1" x14ac:dyDescent="0.15">
      <c r="A300" s="70">
        <v>282</v>
      </c>
      <c r="B300" s="80" t="str">
        <f t="shared" si="4"/>
        <v/>
      </c>
      <c r="C300" s="76">
        <f t="shared" si="3"/>
        <v>3598.4848484848485</v>
      </c>
      <c r="D300" s="76">
        <f t="shared" si="5"/>
        <v>-64772.727272730459</v>
      </c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</row>
    <row r="301" spans="1:25" ht="14.25" customHeight="1" x14ac:dyDescent="0.15">
      <c r="A301" s="70">
        <v>283</v>
      </c>
      <c r="B301" s="80" t="str">
        <f t="shared" si="4"/>
        <v/>
      </c>
      <c r="C301" s="76">
        <f t="shared" si="3"/>
        <v>3598.4848484848485</v>
      </c>
      <c r="D301" s="76">
        <f t="shared" si="5"/>
        <v>-68371.212121215314</v>
      </c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</row>
    <row r="302" spans="1:25" ht="14.25" customHeight="1" x14ac:dyDescent="0.15">
      <c r="A302" s="70">
        <v>284</v>
      </c>
      <c r="B302" s="80" t="str">
        <f t="shared" si="4"/>
        <v/>
      </c>
      <c r="C302" s="76">
        <f t="shared" si="3"/>
        <v>3598.4848484848485</v>
      </c>
      <c r="D302" s="76">
        <f t="shared" si="5"/>
        <v>-71969.696969700162</v>
      </c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</row>
    <row r="303" spans="1:25" ht="14.25" customHeight="1" x14ac:dyDescent="0.15">
      <c r="A303" s="70">
        <v>285</v>
      </c>
      <c r="B303" s="80" t="str">
        <f t="shared" si="4"/>
        <v/>
      </c>
      <c r="C303" s="76">
        <f t="shared" si="3"/>
        <v>3598.4848484848485</v>
      </c>
      <c r="D303" s="76">
        <f t="shared" si="5"/>
        <v>-75568.18181818501</v>
      </c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</row>
    <row r="304" spans="1:25" ht="14.25" customHeight="1" x14ac:dyDescent="0.15">
      <c r="A304" s="70">
        <v>286</v>
      </c>
      <c r="B304" s="80" t="str">
        <f t="shared" si="4"/>
        <v/>
      </c>
      <c r="C304" s="76">
        <f t="shared" si="3"/>
        <v>3598.4848484848485</v>
      </c>
      <c r="D304" s="76">
        <f t="shared" si="5"/>
        <v>-79166.666666669858</v>
      </c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</row>
    <row r="305" spans="1:25" ht="14.25" customHeight="1" x14ac:dyDescent="0.15">
      <c r="A305" s="70">
        <v>287</v>
      </c>
      <c r="B305" s="80" t="str">
        <f t="shared" si="4"/>
        <v/>
      </c>
      <c r="C305" s="76">
        <f t="shared" si="3"/>
        <v>3598.4848484848485</v>
      </c>
      <c r="D305" s="76">
        <f t="shared" si="5"/>
        <v>-82765.151515154706</v>
      </c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</row>
    <row r="306" spans="1:25" ht="14.25" customHeight="1" x14ac:dyDescent="0.15">
      <c r="A306" s="70">
        <v>288</v>
      </c>
      <c r="B306" s="80" t="str">
        <f t="shared" si="4"/>
        <v/>
      </c>
      <c r="C306" s="76">
        <f t="shared" si="3"/>
        <v>3598.4848484848485</v>
      </c>
      <c r="D306" s="76">
        <f t="shared" si="5"/>
        <v>-86363.636363639554</v>
      </c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</row>
    <row r="307" spans="1:25" ht="14.25" customHeight="1" x14ac:dyDescent="0.15">
      <c r="A307" s="70">
        <v>289</v>
      </c>
      <c r="B307" s="80" t="str">
        <f t="shared" si="4"/>
        <v/>
      </c>
      <c r="C307" s="76">
        <f t="shared" si="3"/>
        <v>3598.4848484848485</v>
      </c>
      <c r="D307" s="76">
        <f t="shared" si="5"/>
        <v>-89962.121212124403</v>
      </c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</row>
    <row r="308" spans="1:25" ht="14.25" customHeight="1" x14ac:dyDescent="0.15">
      <c r="A308" s="70">
        <v>290</v>
      </c>
      <c r="B308" s="80" t="str">
        <f t="shared" si="4"/>
        <v/>
      </c>
      <c r="C308" s="76">
        <f t="shared" si="3"/>
        <v>3598.4848484848485</v>
      </c>
      <c r="D308" s="76">
        <f t="shared" si="5"/>
        <v>-93560.606060609251</v>
      </c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</row>
    <row r="309" spans="1:25" ht="14.25" customHeight="1" x14ac:dyDescent="0.15">
      <c r="A309" s="70">
        <v>291</v>
      </c>
      <c r="B309" s="80" t="str">
        <f t="shared" si="4"/>
        <v/>
      </c>
      <c r="C309" s="76">
        <f t="shared" si="3"/>
        <v>3598.4848484848485</v>
      </c>
      <c r="D309" s="76">
        <f t="shared" si="5"/>
        <v>-97159.090909094099</v>
      </c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</row>
    <row r="310" spans="1:25" ht="14.25" customHeight="1" x14ac:dyDescent="0.15">
      <c r="A310" s="70">
        <v>292</v>
      </c>
      <c r="B310" s="80" t="str">
        <f t="shared" si="4"/>
        <v/>
      </c>
      <c r="C310" s="76">
        <f t="shared" si="3"/>
        <v>3598.4848484848485</v>
      </c>
      <c r="D310" s="76">
        <f t="shared" si="5"/>
        <v>-100757.57575757895</v>
      </c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</row>
    <row r="311" spans="1:25" ht="14.25" customHeight="1" x14ac:dyDescent="0.15">
      <c r="A311" s="70">
        <v>293</v>
      </c>
      <c r="B311" s="80" t="str">
        <f t="shared" si="4"/>
        <v/>
      </c>
      <c r="C311" s="76">
        <f t="shared" si="3"/>
        <v>3598.4848484848485</v>
      </c>
      <c r="D311" s="76">
        <f t="shared" si="5"/>
        <v>-104356.06060606379</v>
      </c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</row>
    <row r="312" spans="1:25" ht="14.25" customHeight="1" x14ac:dyDescent="0.15">
      <c r="A312" s="70">
        <v>294</v>
      </c>
      <c r="B312" s="80" t="str">
        <f t="shared" si="4"/>
        <v/>
      </c>
      <c r="C312" s="76">
        <f t="shared" si="3"/>
        <v>3598.4848484848485</v>
      </c>
      <c r="D312" s="76">
        <f t="shared" si="5"/>
        <v>-107954.54545454864</v>
      </c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</row>
    <row r="313" spans="1:25" ht="14.25" customHeight="1" x14ac:dyDescent="0.15">
      <c r="A313" s="70">
        <v>295</v>
      </c>
      <c r="B313" s="80" t="str">
        <f t="shared" si="4"/>
        <v/>
      </c>
      <c r="C313" s="76">
        <f t="shared" si="3"/>
        <v>3598.4848484848485</v>
      </c>
      <c r="D313" s="76">
        <f t="shared" si="5"/>
        <v>-111553.03030303349</v>
      </c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</row>
    <row r="314" spans="1:25" ht="14.25" customHeight="1" x14ac:dyDescent="0.15">
      <c r="A314" s="70">
        <v>296</v>
      </c>
      <c r="B314" s="80" t="str">
        <f t="shared" si="4"/>
        <v/>
      </c>
      <c r="C314" s="76">
        <f t="shared" si="3"/>
        <v>3598.4848484848485</v>
      </c>
      <c r="D314" s="76">
        <f t="shared" si="5"/>
        <v>-115151.51515151834</v>
      </c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</row>
    <row r="315" spans="1:25" ht="14.25" customHeight="1" x14ac:dyDescent="0.15">
      <c r="A315" s="70">
        <v>297</v>
      </c>
      <c r="B315" s="80" t="str">
        <f t="shared" si="4"/>
        <v/>
      </c>
      <c r="C315" s="76">
        <f t="shared" si="3"/>
        <v>3598.4848484848485</v>
      </c>
      <c r="D315" s="76">
        <f t="shared" si="5"/>
        <v>-118750.00000000319</v>
      </c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</row>
    <row r="316" spans="1:25" ht="14.25" customHeight="1" x14ac:dyDescent="0.15">
      <c r="A316" s="70">
        <v>298</v>
      </c>
      <c r="B316" s="80" t="str">
        <f t="shared" si="4"/>
        <v/>
      </c>
      <c r="C316" s="76">
        <f t="shared" si="3"/>
        <v>3598.4848484848485</v>
      </c>
      <c r="D316" s="76">
        <f t="shared" si="5"/>
        <v>-122348.48484848803</v>
      </c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</row>
    <row r="317" spans="1:25" ht="14.25" customHeight="1" x14ac:dyDescent="0.15">
      <c r="A317" s="70">
        <v>299</v>
      </c>
      <c r="B317" s="80" t="str">
        <f t="shared" si="4"/>
        <v/>
      </c>
      <c r="C317" s="76">
        <f t="shared" si="3"/>
        <v>3598.4848484848485</v>
      </c>
      <c r="D317" s="76">
        <f t="shared" si="5"/>
        <v>-125946.96969697288</v>
      </c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</row>
    <row r="318" spans="1:25" ht="14.25" customHeight="1" x14ac:dyDescent="0.15">
      <c r="A318" s="70">
        <v>300</v>
      </c>
      <c r="B318" s="80" t="str">
        <f t="shared" si="4"/>
        <v/>
      </c>
      <c r="C318" s="76">
        <f t="shared" si="3"/>
        <v>3598.4848484848485</v>
      </c>
      <c r="D318" s="76">
        <f t="shared" si="5"/>
        <v>-129545.45454545773</v>
      </c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</row>
    <row r="319" spans="1:25" ht="14.25" customHeight="1" x14ac:dyDescent="0.15">
      <c r="A319" s="70">
        <v>301</v>
      </c>
      <c r="B319" s="80" t="str">
        <f t="shared" si="4"/>
        <v/>
      </c>
      <c r="C319" s="76">
        <f t="shared" si="3"/>
        <v>3598.4848484848485</v>
      </c>
      <c r="D319" s="76">
        <f t="shared" si="5"/>
        <v>-133143.93939394259</v>
      </c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</row>
    <row r="320" spans="1:25" ht="14.25" customHeight="1" x14ac:dyDescent="0.15">
      <c r="A320" s="70">
        <v>302</v>
      </c>
      <c r="B320" s="80" t="str">
        <f t="shared" si="4"/>
        <v/>
      </c>
      <c r="C320" s="76">
        <f t="shared" si="3"/>
        <v>3598.4848484848485</v>
      </c>
      <c r="D320" s="76">
        <f t="shared" si="5"/>
        <v>-136742.42424242746</v>
      </c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</row>
    <row r="321" spans="1:25" ht="14.25" customHeight="1" x14ac:dyDescent="0.15">
      <c r="A321" s="70">
        <v>303</v>
      </c>
      <c r="B321" s="80" t="str">
        <f t="shared" si="4"/>
        <v/>
      </c>
      <c r="C321" s="76">
        <f t="shared" si="3"/>
        <v>3598.4848484848485</v>
      </c>
      <c r="D321" s="76">
        <f t="shared" si="5"/>
        <v>-140340.90909091232</v>
      </c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</row>
    <row r="322" spans="1:25" ht="14.25" customHeight="1" x14ac:dyDescent="0.15">
      <c r="A322" s="70">
        <v>304</v>
      </c>
      <c r="B322" s="80" t="str">
        <f t="shared" si="4"/>
        <v/>
      </c>
      <c r="C322" s="76">
        <f t="shared" si="3"/>
        <v>3598.4848484848485</v>
      </c>
      <c r="D322" s="76">
        <f t="shared" si="5"/>
        <v>-143939.39393939718</v>
      </c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</row>
    <row r="323" spans="1:25" ht="14.25" customHeight="1" x14ac:dyDescent="0.15">
      <c r="A323" s="70">
        <v>305</v>
      </c>
      <c r="B323" s="80" t="str">
        <f t="shared" si="4"/>
        <v/>
      </c>
      <c r="C323" s="76">
        <f t="shared" si="3"/>
        <v>3598.4848484848485</v>
      </c>
      <c r="D323" s="76">
        <f t="shared" si="5"/>
        <v>-147537.87878788204</v>
      </c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</row>
    <row r="324" spans="1:25" ht="14.25" customHeight="1" x14ac:dyDescent="0.15">
      <c r="A324" s="70">
        <v>306</v>
      </c>
      <c r="B324" s="80" t="str">
        <f t="shared" si="4"/>
        <v/>
      </c>
      <c r="C324" s="76">
        <f t="shared" si="3"/>
        <v>3598.4848484848485</v>
      </c>
      <c r="D324" s="76">
        <f t="shared" si="5"/>
        <v>-151136.36363636691</v>
      </c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</row>
    <row r="325" spans="1:25" ht="14.25" customHeight="1" x14ac:dyDescent="0.15">
      <c r="A325" s="70">
        <v>307</v>
      </c>
      <c r="B325" s="80" t="str">
        <f t="shared" si="4"/>
        <v/>
      </c>
      <c r="C325" s="76">
        <f t="shared" si="3"/>
        <v>3598.4848484848485</v>
      </c>
      <c r="D325" s="76">
        <f t="shared" si="5"/>
        <v>-154734.84848485177</v>
      </c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</row>
    <row r="326" spans="1:25" ht="14.25" customHeight="1" x14ac:dyDescent="0.15">
      <c r="A326" s="70">
        <v>308</v>
      </c>
      <c r="B326" s="80" t="str">
        <f t="shared" si="4"/>
        <v/>
      </c>
      <c r="C326" s="76">
        <f t="shared" si="3"/>
        <v>3598.4848484848485</v>
      </c>
      <c r="D326" s="76">
        <f t="shared" si="5"/>
        <v>-158333.33333333663</v>
      </c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</row>
    <row r="327" spans="1:25" ht="14.25" customHeight="1" x14ac:dyDescent="0.15">
      <c r="A327" s="70">
        <v>309</v>
      </c>
      <c r="B327" s="80" t="str">
        <f t="shared" si="4"/>
        <v/>
      </c>
      <c r="C327" s="76">
        <f t="shared" si="3"/>
        <v>3598.4848484848485</v>
      </c>
      <c r="D327" s="76">
        <f t="shared" si="5"/>
        <v>-161931.81818182149</v>
      </c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</row>
    <row r="328" spans="1:25" ht="14.25" customHeight="1" x14ac:dyDescent="0.15">
      <c r="A328" s="70">
        <v>310</v>
      </c>
      <c r="B328" s="80" t="str">
        <f t="shared" si="4"/>
        <v/>
      </c>
      <c r="C328" s="76">
        <f t="shared" si="3"/>
        <v>3598.4848484848485</v>
      </c>
      <c r="D328" s="76">
        <f t="shared" si="5"/>
        <v>-165530.30303030636</v>
      </c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</row>
    <row r="329" spans="1:25" ht="14.25" customHeight="1" x14ac:dyDescent="0.15">
      <c r="A329" s="70">
        <v>311</v>
      </c>
      <c r="B329" s="80" t="str">
        <f t="shared" si="4"/>
        <v/>
      </c>
      <c r="C329" s="76">
        <f t="shared" si="3"/>
        <v>3598.4848484848485</v>
      </c>
      <c r="D329" s="76">
        <f t="shared" si="5"/>
        <v>-169128.78787879122</v>
      </c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</row>
    <row r="330" spans="1:25" ht="14.25" customHeight="1" x14ac:dyDescent="0.15">
      <c r="A330" s="70">
        <v>312</v>
      </c>
      <c r="B330" s="80" t="str">
        <f t="shared" si="4"/>
        <v/>
      </c>
      <c r="C330" s="76">
        <f t="shared" si="3"/>
        <v>3598.4848484848485</v>
      </c>
      <c r="D330" s="76">
        <f t="shared" si="5"/>
        <v>-172727.27272727608</v>
      </c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</row>
    <row r="331" spans="1:25" ht="14.25" customHeight="1" x14ac:dyDescent="0.15">
      <c r="A331" s="70">
        <v>313</v>
      </c>
      <c r="B331" s="80" t="str">
        <f t="shared" si="4"/>
        <v/>
      </c>
      <c r="C331" s="76">
        <f t="shared" si="3"/>
        <v>3598.4848484848485</v>
      </c>
      <c r="D331" s="76">
        <f t="shared" si="5"/>
        <v>-176325.75757576094</v>
      </c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</row>
    <row r="332" spans="1:25" ht="14.25" customHeight="1" x14ac:dyDescent="0.15">
      <c r="A332" s="70">
        <v>314</v>
      </c>
      <c r="B332" s="80" t="str">
        <f t="shared" si="4"/>
        <v/>
      </c>
      <c r="C332" s="76">
        <f t="shared" si="3"/>
        <v>3598.4848484848485</v>
      </c>
      <c r="D332" s="76">
        <f t="shared" si="5"/>
        <v>-179924.24242424581</v>
      </c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</row>
    <row r="333" spans="1:25" ht="14.25" customHeight="1" x14ac:dyDescent="0.15">
      <c r="A333" s="70">
        <v>315</v>
      </c>
      <c r="B333" s="80" t="str">
        <f t="shared" si="4"/>
        <v/>
      </c>
      <c r="C333" s="76">
        <f t="shared" si="3"/>
        <v>3598.4848484848485</v>
      </c>
      <c r="D333" s="76">
        <f t="shared" si="5"/>
        <v>-183522.72727273067</v>
      </c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</row>
    <row r="334" spans="1:25" ht="14.25" customHeight="1" x14ac:dyDescent="0.15">
      <c r="A334" s="70">
        <v>316</v>
      </c>
      <c r="B334" s="80" t="str">
        <f t="shared" si="4"/>
        <v/>
      </c>
      <c r="C334" s="76">
        <f t="shared" si="3"/>
        <v>3598.4848484848485</v>
      </c>
      <c r="D334" s="76">
        <f t="shared" si="5"/>
        <v>-187121.21212121553</v>
      </c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</row>
    <row r="335" spans="1:25" ht="14.25" customHeight="1" x14ac:dyDescent="0.15">
      <c r="A335" s="70">
        <v>317</v>
      </c>
      <c r="B335" s="80" t="str">
        <f t="shared" si="4"/>
        <v/>
      </c>
      <c r="C335" s="76">
        <f t="shared" si="3"/>
        <v>3598.4848484848485</v>
      </c>
      <c r="D335" s="76">
        <f t="shared" si="5"/>
        <v>-190719.6969697004</v>
      </c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</row>
    <row r="336" spans="1:25" ht="14.25" customHeight="1" x14ac:dyDescent="0.15">
      <c r="A336" s="70">
        <v>318</v>
      </c>
      <c r="B336" s="80" t="str">
        <f t="shared" si="4"/>
        <v/>
      </c>
      <c r="C336" s="76">
        <f t="shared" si="3"/>
        <v>3598.4848484848485</v>
      </c>
      <c r="D336" s="76">
        <f t="shared" si="5"/>
        <v>-194318.18181818526</v>
      </c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</row>
    <row r="337" spans="1:25" ht="14.25" customHeight="1" x14ac:dyDescent="0.15">
      <c r="A337" s="70">
        <v>319</v>
      </c>
      <c r="B337" s="80" t="str">
        <f t="shared" si="4"/>
        <v/>
      </c>
      <c r="C337" s="76">
        <f t="shared" si="3"/>
        <v>3598.4848484848485</v>
      </c>
      <c r="D337" s="76">
        <f t="shared" si="5"/>
        <v>-197916.66666667012</v>
      </c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</row>
    <row r="338" spans="1:25" ht="14.25" customHeight="1" x14ac:dyDescent="0.15">
      <c r="A338" s="70">
        <v>320</v>
      </c>
      <c r="B338" s="80" t="str">
        <f t="shared" si="4"/>
        <v/>
      </c>
      <c r="C338" s="76">
        <f t="shared" si="3"/>
        <v>3598.4848484848485</v>
      </c>
      <c r="D338" s="76">
        <f t="shared" si="5"/>
        <v>-201515.15151515498</v>
      </c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</row>
    <row r="339" spans="1:25" ht="14.25" customHeight="1" x14ac:dyDescent="0.15">
      <c r="A339" s="70">
        <v>321</v>
      </c>
      <c r="B339" s="80" t="str">
        <f t="shared" si="4"/>
        <v/>
      </c>
      <c r="C339" s="76">
        <f t="shared" si="3"/>
        <v>3598.4848484848485</v>
      </c>
      <c r="D339" s="76">
        <f t="shared" si="5"/>
        <v>-205113.63636363985</v>
      </c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</row>
    <row r="340" spans="1:25" ht="14.25" customHeight="1" x14ac:dyDescent="0.15">
      <c r="A340" s="70">
        <v>322</v>
      </c>
      <c r="B340" s="80" t="str">
        <f t="shared" si="4"/>
        <v/>
      </c>
      <c r="C340" s="76">
        <f t="shared" si="3"/>
        <v>3598.4848484848485</v>
      </c>
      <c r="D340" s="76">
        <f t="shared" si="5"/>
        <v>-208712.12121212471</v>
      </c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</row>
    <row r="341" spans="1:25" ht="14.25" customHeight="1" x14ac:dyDescent="0.15">
      <c r="A341" s="70">
        <v>323</v>
      </c>
      <c r="B341" s="80" t="str">
        <f t="shared" si="4"/>
        <v/>
      </c>
      <c r="C341" s="76">
        <f t="shared" si="3"/>
        <v>3598.4848484848485</v>
      </c>
      <c r="D341" s="76">
        <f t="shared" si="5"/>
        <v>-212310.60606060957</v>
      </c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</row>
    <row r="342" spans="1:25" ht="14.25" customHeight="1" x14ac:dyDescent="0.15">
      <c r="A342" s="70">
        <v>324</v>
      </c>
      <c r="B342" s="80" t="str">
        <f t="shared" si="4"/>
        <v/>
      </c>
      <c r="C342" s="76">
        <f t="shared" si="3"/>
        <v>3598.4848484848485</v>
      </c>
      <c r="D342" s="76">
        <f t="shared" si="5"/>
        <v>-215909.09090909443</v>
      </c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</row>
    <row r="343" spans="1:25" ht="14.25" customHeight="1" x14ac:dyDescent="0.15">
      <c r="A343" s="70">
        <v>325</v>
      </c>
      <c r="B343" s="80" t="str">
        <f t="shared" si="4"/>
        <v/>
      </c>
      <c r="C343" s="76">
        <f t="shared" si="3"/>
        <v>3598.4848484848485</v>
      </c>
      <c r="D343" s="76">
        <f t="shared" si="5"/>
        <v>-219507.5757575793</v>
      </c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</row>
    <row r="344" spans="1:25" ht="14.25" customHeight="1" x14ac:dyDescent="0.15">
      <c r="A344" s="70">
        <v>326</v>
      </c>
      <c r="B344" s="80" t="str">
        <f t="shared" si="4"/>
        <v/>
      </c>
      <c r="C344" s="76">
        <f t="shared" si="3"/>
        <v>3598.4848484848485</v>
      </c>
      <c r="D344" s="76">
        <f t="shared" si="5"/>
        <v>-223106.06060606416</v>
      </c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</row>
    <row r="345" spans="1:25" ht="14.25" customHeight="1" x14ac:dyDescent="0.15">
      <c r="A345" s="70">
        <v>327</v>
      </c>
      <c r="B345" s="80" t="str">
        <f t="shared" si="4"/>
        <v/>
      </c>
      <c r="C345" s="76">
        <f t="shared" si="3"/>
        <v>3598.4848484848485</v>
      </c>
      <c r="D345" s="76">
        <f t="shared" si="5"/>
        <v>-226704.54545454902</v>
      </c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</row>
    <row r="346" spans="1:25" ht="14.25" customHeight="1" x14ac:dyDescent="0.15">
      <c r="A346" s="70">
        <v>328</v>
      </c>
      <c r="B346" s="80" t="str">
        <f t="shared" si="4"/>
        <v/>
      </c>
      <c r="C346" s="76">
        <f t="shared" si="3"/>
        <v>3598.4848484848485</v>
      </c>
      <c r="D346" s="76">
        <f t="shared" si="5"/>
        <v>-230303.03030303388</v>
      </c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</row>
    <row r="347" spans="1:25" ht="14.25" customHeight="1" x14ac:dyDescent="0.15">
      <c r="A347" s="70">
        <v>329</v>
      </c>
      <c r="B347" s="80" t="str">
        <f t="shared" si="4"/>
        <v/>
      </c>
      <c r="C347" s="76">
        <f t="shared" si="3"/>
        <v>3598.4848484848485</v>
      </c>
      <c r="D347" s="76">
        <f t="shared" si="5"/>
        <v>-233901.51515151875</v>
      </c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</row>
    <row r="348" spans="1:25" ht="14.25" customHeight="1" x14ac:dyDescent="0.15">
      <c r="A348" s="70">
        <v>330</v>
      </c>
      <c r="B348" s="80" t="str">
        <f t="shared" si="4"/>
        <v/>
      </c>
      <c r="C348" s="76">
        <f t="shared" si="3"/>
        <v>3598.4848484848485</v>
      </c>
      <c r="D348" s="76">
        <f t="shared" si="5"/>
        <v>-237500.00000000361</v>
      </c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</row>
    <row r="349" spans="1:25" ht="14.25" customHeight="1" x14ac:dyDescent="0.15">
      <c r="A349" s="70">
        <v>331</v>
      </c>
      <c r="B349" s="80" t="str">
        <f t="shared" si="4"/>
        <v/>
      </c>
      <c r="C349" s="76">
        <f t="shared" si="3"/>
        <v>3598.4848484848485</v>
      </c>
      <c r="D349" s="76">
        <f t="shared" si="5"/>
        <v>-241098.48484848847</v>
      </c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</row>
    <row r="350" spans="1:25" ht="14.25" customHeight="1" x14ac:dyDescent="0.15">
      <c r="A350" s="70">
        <v>332</v>
      </c>
      <c r="B350" s="80" t="str">
        <f t="shared" si="4"/>
        <v/>
      </c>
      <c r="C350" s="76">
        <f t="shared" si="3"/>
        <v>3598.4848484848485</v>
      </c>
      <c r="D350" s="76">
        <f t="shared" si="5"/>
        <v>-244696.96969697333</v>
      </c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</row>
    <row r="351" spans="1:25" ht="14.25" customHeight="1" x14ac:dyDescent="0.15">
      <c r="A351" s="70">
        <v>333</v>
      </c>
      <c r="B351" s="80" t="str">
        <f t="shared" si="4"/>
        <v/>
      </c>
      <c r="C351" s="76">
        <f t="shared" si="3"/>
        <v>3598.4848484848485</v>
      </c>
      <c r="D351" s="76">
        <f t="shared" si="5"/>
        <v>-248295.4545454582</v>
      </c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</row>
    <row r="352" spans="1:25" ht="14.25" customHeight="1" x14ac:dyDescent="0.15">
      <c r="A352" s="70">
        <v>334</v>
      </c>
      <c r="B352" s="80" t="str">
        <f t="shared" si="4"/>
        <v/>
      </c>
      <c r="C352" s="76">
        <f t="shared" si="3"/>
        <v>3598.4848484848485</v>
      </c>
      <c r="D352" s="76">
        <f t="shared" si="5"/>
        <v>-251893.93939394306</v>
      </c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</row>
    <row r="353" spans="1:25" ht="14.25" customHeight="1" x14ac:dyDescent="0.15">
      <c r="A353" s="70">
        <v>335</v>
      </c>
      <c r="B353" s="80" t="str">
        <f t="shared" si="4"/>
        <v/>
      </c>
      <c r="C353" s="76">
        <f t="shared" si="3"/>
        <v>3598.4848484848485</v>
      </c>
      <c r="D353" s="76">
        <f t="shared" si="5"/>
        <v>-255492.42424242792</v>
      </c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</row>
    <row r="354" spans="1:25" ht="14.25" customHeight="1" x14ac:dyDescent="0.15">
      <c r="A354" s="70">
        <v>336</v>
      </c>
      <c r="B354" s="80" t="str">
        <f t="shared" si="4"/>
        <v/>
      </c>
      <c r="C354" s="76">
        <f t="shared" si="3"/>
        <v>3598.4848484848485</v>
      </c>
      <c r="D354" s="76">
        <f t="shared" si="5"/>
        <v>-259090.90909091278</v>
      </c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</row>
    <row r="355" spans="1:25" ht="14.25" customHeight="1" x14ac:dyDescent="0.15">
      <c r="A355" s="70">
        <v>337</v>
      </c>
      <c r="B355" s="80" t="str">
        <f t="shared" si="4"/>
        <v/>
      </c>
      <c r="C355" s="76">
        <f t="shared" si="3"/>
        <v>3598.4848484848485</v>
      </c>
      <c r="D355" s="76">
        <f t="shared" si="5"/>
        <v>-262689.39393939765</v>
      </c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</row>
    <row r="356" spans="1:25" ht="14.25" customHeight="1" x14ac:dyDescent="0.15">
      <c r="A356" s="70">
        <v>338</v>
      </c>
      <c r="B356" s="80" t="str">
        <f t="shared" si="4"/>
        <v/>
      </c>
      <c r="C356" s="76">
        <f t="shared" si="3"/>
        <v>3598.4848484848485</v>
      </c>
      <c r="D356" s="76">
        <f t="shared" si="5"/>
        <v>-266287.87878788251</v>
      </c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</row>
    <row r="357" spans="1:25" ht="14.25" customHeight="1" x14ac:dyDescent="0.15">
      <c r="A357" s="70">
        <v>339</v>
      </c>
      <c r="B357" s="80" t="str">
        <f t="shared" si="4"/>
        <v/>
      </c>
      <c r="C357" s="76">
        <f t="shared" si="3"/>
        <v>3598.4848484848485</v>
      </c>
      <c r="D357" s="76">
        <f t="shared" si="5"/>
        <v>-269886.36363636737</v>
      </c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</row>
    <row r="358" spans="1:25" ht="14.25" customHeight="1" x14ac:dyDescent="0.15">
      <c r="A358" s="70">
        <v>340</v>
      </c>
      <c r="B358" s="80" t="str">
        <f t="shared" si="4"/>
        <v/>
      </c>
      <c r="C358" s="76">
        <f t="shared" si="3"/>
        <v>3598.4848484848485</v>
      </c>
      <c r="D358" s="76">
        <f t="shared" si="5"/>
        <v>-273484.84848485223</v>
      </c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</row>
    <row r="359" spans="1:25" ht="14.25" customHeight="1" x14ac:dyDescent="0.15">
      <c r="A359" s="70">
        <v>341</v>
      </c>
      <c r="B359" s="80" t="str">
        <f t="shared" si="4"/>
        <v/>
      </c>
      <c r="C359" s="76">
        <f t="shared" si="3"/>
        <v>3598.4848484848485</v>
      </c>
      <c r="D359" s="76">
        <f t="shared" si="5"/>
        <v>-277083.3333333371</v>
      </c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</row>
    <row r="360" spans="1:25" ht="14.25" customHeight="1" x14ac:dyDescent="0.15">
      <c r="A360" s="70">
        <v>342</v>
      </c>
      <c r="B360" s="80" t="str">
        <f t="shared" si="4"/>
        <v/>
      </c>
      <c r="C360" s="76">
        <f t="shared" si="3"/>
        <v>3598.4848484848485</v>
      </c>
      <c r="D360" s="76">
        <f t="shared" si="5"/>
        <v>-280681.81818182196</v>
      </c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</row>
    <row r="361" spans="1:25" ht="14.25" customHeight="1" x14ac:dyDescent="0.15">
      <c r="A361" s="70">
        <v>343</v>
      </c>
      <c r="B361" s="80" t="str">
        <f t="shared" si="4"/>
        <v/>
      </c>
      <c r="C361" s="76">
        <f t="shared" si="3"/>
        <v>3598.4848484848485</v>
      </c>
      <c r="D361" s="76">
        <f t="shared" si="5"/>
        <v>-284280.30303030682</v>
      </c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</row>
    <row r="362" spans="1:25" ht="14.25" customHeight="1" x14ac:dyDescent="0.15">
      <c r="A362" s="70">
        <v>344</v>
      </c>
      <c r="B362" s="80" t="str">
        <f t="shared" si="4"/>
        <v/>
      </c>
      <c r="C362" s="76">
        <f t="shared" si="3"/>
        <v>3598.4848484848485</v>
      </c>
      <c r="D362" s="76">
        <f t="shared" si="5"/>
        <v>-287878.78787879169</v>
      </c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</row>
    <row r="363" spans="1:25" ht="14.25" customHeight="1" x14ac:dyDescent="0.15">
      <c r="A363" s="70">
        <v>345</v>
      </c>
      <c r="B363" s="80" t="str">
        <f t="shared" si="4"/>
        <v/>
      </c>
      <c r="C363" s="76">
        <f t="shared" si="3"/>
        <v>3598.4848484848485</v>
      </c>
      <c r="D363" s="76">
        <f t="shared" si="5"/>
        <v>-291477.27272727655</v>
      </c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</row>
    <row r="364" spans="1:25" ht="14.25" customHeight="1" x14ac:dyDescent="0.15">
      <c r="A364" s="70">
        <v>346</v>
      </c>
      <c r="B364" s="80" t="str">
        <f t="shared" si="4"/>
        <v/>
      </c>
      <c r="C364" s="76">
        <f t="shared" si="3"/>
        <v>3598.4848484848485</v>
      </c>
      <c r="D364" s="76">
        <f t="shared" si="5"/>
        <v>-295075.75757576141</v>
      </c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</row>
    <row r="365" spans="1:25" ht="14.25" customHeight="1" x14ac:dyDescent="0.15">
      <c r="A365" s="70">
        <v>347</v>
      </c>
      <c r="B365" s="80" t="str">
        <f t="shared" si="4"/>
        <v/>
      </c>
      <c r="C365" s="76">
        <f t="shared" si="3"/>
        <v>3598.4848484848485</v>
      </c>
      <c r="D365" s="76">
        <f t="shared" si="5"/>
        <v>-298674.24242424627</v>
      </c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</row>
    <row r="366" spans="1:25" ht="14.25" customHeight="1" x14ac:dyDescent="0.15">
      <c r="A366" s="70">
        <v>348</v>
      </c>
      <c r="B366" s="80" t="str">
        <f t="shared" si="4"/>
        <v/>
      </c>
      <c r="C366" s="76">
        <f t="shared" si="3"/>
        <v>3598.4848484848485</v>
      </c>
      <c r="D366" s="76">
        <f t="shared" si="5"/>
        <v>-302272.72727273114</v>
      </c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</row>
    <row r="367" spans="1:25" ht="14.25" customHeight="1" x14ac:dyDescent="0.15">
      <c r="A367" s="70">
        <v>349</v>
      </c>
      <c r="B367" s="80" t="str">
        <f t="shared" si="4"/>
        <v/>
      </c>
      <c r="C367" s="76">
        <f t="shared" si="3"/>
        <v>3598.4848484848485</v>
      </c>
      <c r="D367" s="76">
        <f t="shared" si="5"/>
        <v>-305871.212121216</v>
      </c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</row>
    <row r="368" spans="1:25" ht="14.25" customHeight="1" x14ac:dyDescent="0.15">
      <c r="A368" s="70">
        <v>350</v>
      </c>
      <c r="B368" s="80" t="str">
        <f t="shared" si="4"/>
        <v/>
      </c>
      <c r="C368" s="76">
        <f t="shared" si="3"/>
        <v>3598.4848484848485</v>
      </c>
      <c r="D368" s="76">
        <f t="shared" si="5"/>
        <v>-309469.69696970086</v>
      </c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</row>
    <row r="369" spans="1:25" ht="14.25" customHeight="1" x14ac:dyDescent="0.15">
      <c r="A369" s="70">
        <v>351</v>
      </c>
      <c r="B369" s="80" t="str">
        <f t="shared" si="4"/>
        <v/>
      </c>
      <c r="C369" s="76">
        <f t="shared" si="3"/>
        <v>3598.4848484848485</v>
      </c>
      <c r="D369" s="76">
        <f t="shared" si="5"/>
        <v>-313068.18181818572</v>
      </c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</row>
    <row r="370" spans="1:25" ht="14.25" customHeight="1" x14ac:dyDescent="0.15">
      <c r="A370" s="70">
        <v>352</v>
      </c>
      <c r="B370" s="80" t="str">
        <f t="shared" si="4"/>
        <v/>
      </c>
      <c r="C370" s="76">
        <f t="shared" si="3"/>
        <v>3598.4848484848485</v>
      </c>
      <c r="D370" s="76">
        <f t="shared" si="5"/>
        <v>-316666.66666667059</v>
      </c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</row>
    <row r="371" spans="1:25" ht="14.25" customHeight="1" x14ac:dyDescent="0.15">
      <c r="A371" s="70">
        <v>353</v>
      </c>
      <c r="B371" s="80" t="str">
        <f t="shared" si="4"/>
        <v/>
      </c>
      <c r="C371" s="76">
        <f t="shared" si="3"/>
        <v>3598.4848484848485</v>
      </c>
      <c r="D371" s="76">
        <f t="shared" si="5"/>
        <v>-320265.15151515545</v>
      </c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</row>
    <row r="372" spans="1:25" ht="14.25" customHeight="1" x14ac:dyDescent="0.15">
      <c r="A372" s="70">
        <v>354</v>
      </c>
      <c r="B372" s="80" t="str">
        <f t="shared" si="4"/>
        <v/>
      </c>
      <c r="C372" s="76">
        <f t="shared" si="3"/>
        <v>3598.4848484848485</v>
      </c>
      <c r="D372" s="76">
        <f t="shared" si="5"/>
        <v>-323863.63636364031</v>
      </c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</row>
    <row r="373" spans="1:25" ht="14.25" customHeight="1" x14ac:dyDescent="0.15">
      <c r="A373" s="70">
        <v>355</v>
      </c>
      <c r="B373" s="80" t="str">
        <f t="shared" si="4"/>
        <v/>
      </c>
      <c r="C373" s="76">
        <f t="shared" si="3"/>
        <v>3598.4848484848485</v>
      </c>
      <c r="D373" s="76">
        <f t="shared" si="5"/>
        <v>-327462.12121212517</v>
      </c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</row>
    <row r="374" spans="1:25" ht="14.25" customHeight="1" x14ac:dyDescent="0.15">
      <c r="A374" s="70">
        <v>356</v>
      </c>
      <c r="B374" s="80" t="str">
        <f t="shared" si="4"/>
        <v/>
      </c>
      <c r="C374" s="76">
        <f t="shared" si="3"/>
        <v>3598.4848484848485</v>
      </c>
      <c r="D374" s="76">
        <f t="shared" si="5"/>
        <v>-331060.60606061004</v>
      </c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</row>
    <row r="375" spans="1:25" ht="14.25" customHeight="1" x14ac:dyDescent="0.15">
      <c r="A375" s="70">
        <v>357</v>
      </c>
      <c r="B375" s="80" t="str">
        <f t="shared" si="4"/>
        <v/>
      </c>
      <c r="C375" s="76">
        <f t="shared" si="3"/>
        <v>3598.4848484848485</v>
      </c>
      <c r="D375" s="76">
        <f t="shared" si="5"/>
        <v>-334659.0909090949</v>
      </c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</row>
    <row r="376" spans="1:25" ht="14.25" customHeight="1" x14ac:dyDescent="0.15">
      <c r="A376" s="70">
        <v>358</v>
      </c>
      <c r="B376" s="80" t="str">
        <f t="shared" si="4"/>
        <v/>
      </c>
      <c r="C376" s="76">
        <f t="shared" si="3"/>
        <v>3598.4848484848485</v>
      </c>
      <c r="D376" s="76">
        <f t="shared" si="5"/>
        <v>-338257.57575757976</v>
      </c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</row>
    <row r="377" spans="1:25" ht="14.25" customHeight="1" x14ac:dyDescent="0.15">
      <c r="A377" s="70">
        <v>359</v>
      </c>
      <c r="B377" s="80" t="str">
        <f t="shared" si="4"/>
        <v/>
      </c>
      <c r="C377" s="76">
        <f t="shared" si="3"/>
        <v>3598.4848484848485</v>
      </c>
      <c r="D377" s="76">
        <f t="shared" si="5"/>
        <v>-341856.06060606462</v>
      </c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</row>
    <row r="378" spans="1:25" ht="14.25" customHeight="1" x14ac:dyDescent="0.15">
      <c r="A378" s="70">
        <v>360</v>
      </c>
      <c r="B378" s="80" t="str">
        <f t="shared" si="4"/>
        <v/>
      </c>
      <c r="C378" s="76">
        <f t="shared" si="3"/>
        <v>3598.4848484848485</v>
      </c>
      <c r="D378" s="76">
        <f t="shared" si="5"/>
        <v>-345454.54545454949</v>
      </c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</row>
    <row r="379" spans="1:25" ht="14.25" customHeight="1" x14ac:dyDescent="0.15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</row>
    <row r="380" spans="1:25" ht="14.25" customHeight="1" x14ac:dyDescent="0.15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</row>
    <row r="381" spans="1:25" ht="14.25" customHeight="1" x14ac:dyDescent="0.15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</row>
    <row r="382" spans="1:25" ht="14.25" customHeight="1" x14ac:dyDescent="0.15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</row>
    <row r="383" spans="1:25" ht="14.25" customHeight="1" x14ac:dyDescent="0.15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</row>
    <row r="384" spans="1:25" ht="14.25" customHeight="1" x14ac:dyDescent="0.15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</row>
    <row r="385" spans="1:25" ht="14.25" customHeight="1" x14ac:dyDescent="0.1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</row>
    <row r="386" spans="1:25" ht="14.25" customHeight="1" x14ac:dyDescent="0.15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</row>
    <row r="387" spans="1:25" ht="14.25" customHeight="1" x14ac:dyDescent="0.15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</row>
    <row r="388" spans="1:25" ht="14.25" customHeight="1" x14ac:dyDescent="0.15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</row>
    <row r="389" spans="1:25" ht="14.25" customHeight="1" x14ac:dyDescent="0.15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</row>
    <row r="390" spans="1:25" ht="14.25" customHeight="1" x14ac:dyDescent="0.15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</row>
    <row r="391" spans="1:25" ht="14.25" customHeight="1" x14ac:dyDescent="0.15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</row>
    <row r="392" spans="1:25" ht="14.25" customHeight="1" x14ac:dyDescent="0.15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</row>
    <row r="393" spans="1:25" ht="14.25" customHeight="1" x14ac:dyDescent="0.15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</row>
    <row r="394" spans="1:25" ht="14.25" customHeight="1" x14ac:dyDescent="0.15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</row>
    <row r="395" spans="1:25" ht="14.25" customHeight="1" x14ac:dyDescent="0.1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</row>
    <row r="396" spans="1:25" ht="14.25" customHeight="1" x14ac:dyDescent="0.15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</row>
    <row r="397" spans="1:25" ht="14.25" customHeight="1" x14ac:dyDescent="0.15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</row>
    <row r="398" spans="1:25" ht="14.25" customHeight="1" x14ac:dyDescent="0.15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</row>
    <row r="399" spans="1:25" ht="14.25" customHeight="1" x14ac:dyDescent="0.15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</row>
    <row r="400" spans="1:25" ht="14.25" customHeight="1" x14ac:dyDescent="0.15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</row>
    <row r="401" spans="1:25" ht="14.25" customHeight="1" x14ac:dyDescent="0.15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</row>
    <row r="402" spans="1:25" ht="14.25" customHeight="1" x14ac:dyDescent="0.15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</row>
    <row r="403" spans="1:25" ht="14.25" customHeight="1" x14ac:dyDescent="0.15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</row>
    <row r="404" spans="1:25" ht="14.25" customHeight="1" x14ac:dyDescent="0.15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</row>
    <row r="405" spans="1:25" ht="14.25" customHeight="1" x14ac:dyDescent="0.1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</row>
    <row r="406" spans="1:25" ht="14.25" customHeight="1" x14ac:dyDescent="0.15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</row>
    <row r="407" spans="1:25" ht="14.25" customHeight="1" x14ac:dyDescent="0.15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</row>
    <row r="408" spans="1:25" ht="14.25" customHeight="1" x14ac:dyDescent="0.15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</row>
    <row r="409" spans="1:25" ht="14.25" customHeight="1" x14ac:dyDescent="0.15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</row>
    <row r="410" spans="1:25" ht="14.25" customHeight="1" x14ac:dyDescent="0.15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</row>
    <row r="411" spans="1:25" ht="14.25" customHeight="1" x14ac:dyDescent="0.15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</row>
    <row r="412" spans="1:25" ht="14.25" customHeight="1" x14ac:dyDescent="0.15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</row>
    <row r="413" spans="1:25" ht="14.25" customHeight="1" x14ac:dyDescent="0.15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</row>
    <row r="414" spans="1:25" ht="14.25" customHeight="1" x14ac:dyDescent="0.15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</row>
    <row r="415" spans="1:25" ht="14.25" customHeight="1" x14ac:dyDescent="0.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</row>
    <row r="416" spans="1:25" ht="14.25" customHeight="1" x14ac:dyDescent="0.15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</row>
    <row r="417" spans="1:25" ht="14.25" customHeight="1" x14ac:dyDescent="0.15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</row>
    <row r="418" spans="1:25" ht="14.25" customHeight="1" x14ac:dyDescent="0.15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</row>
    <row r="419" spans="1:25" ht="14.25" customHeight="1" x14ac:dyDescent="0.15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</row>
    <row r="420" spans="1:25" ht="14.25" customHeight="1" x14ac:dyDescent="0.15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</row>
    <row r="421" spans="1:25" ht="14.25" customHeight="1" x14ac:dyDescent="0.15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</row>
    <row r="422" spans="1:25" ht="14.25" customHeight="1" x14ac:dyDescent="0.15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</row>
    <row r="423" spans="1:25" ht="14.25" customHeight="1" x14ac:dyDescent="0.15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</row>
    <row r="424" spans="1:25" ht="14.25" customHeight="1" x14ac:dyDescent="0.15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</row>
    <row r="425" spans="1:25" ht="14.25" customHeight="1" x14ac:dyDescent="0.1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</row>
    <row r="426" spans="1:25" ht="14.25" customHeight="1" x14ac:dyDescent="0.15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</row>
    <row r="427" spans="1:25" ht="14.25" customHeight="1" x14ac:dyDescent="0.15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</row>
    <row r="428" spans="1:25" ht="14.25" customHeight="1" x14ac:dyDescent="0.15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</row>
    <row r="429" spans="1:25" ht="14.25" customHeight="1" x14ac:dyDescent="0.15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</row>
    <row r="430" spans="1:25" ht="14.25" customHeight="1" x14ac:dyDescent="0.15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</row>
    <row r="431" spans="1:25" ht="14.25" customHeight="1" x14ac:dyDescent="0.15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</row>
    <row r="432" spans="1:25" ht="14.25" customHeight="1" x14ac:dyDescent="0.15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</row>
    <row r="433" spans="1:25" ht="14.25" customHeight="1" x14ac:dyDescent="0.15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</row>
    <row r="434" spans="1:25" ht="14.25" customHeight="1" x14ac:dyDescent="0.15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</row>
    <row r="435" spans="1:25" ht="14.25" customHeight="1" x14ac:dyDescent="0.1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</row>
    <row r="436" spans="1:25" ht="14.25" customHeight="1" x14ac:dyDescent="0.15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</row>
    <row r="437" spans="1:25" ht="14.25" customHeight="1" x14ac:dyDescent="0.15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</row>
    <row r="438" spans="1:25" ht="14.25" customHeight="1" x14ac:dyDescent="0.15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</row>
    <row r="439" spans="1:25" ht="14.25" customHeight="1" x14ac:dyDescent="0.15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</row>
    <row r="440" spans="1:25" ht="14.25" customHeight="1" x14ac:dyDescent="0.15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</row>
    <row r="441" spans="1:25" ht="14.25" customHeight="1" x14ac:dyDescent="0.15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</row>
    <row r="442" spans="1:25" ht="14.25" customHeight="1" x14ac:dyDescent="0.15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</row>
    <row r="443" spans="1:25" ht="14.25" customHeight="1" x14ac:dyDescent="0.15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</row>
    <row r="444" spans="1:25" ht="14.25" customHeight="1" x14ac:dyDescent="0.15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</row>
    <row r="445" spans="1:25" ht="14.25" customHeight="1" x14ac:dyDescent="0.1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</row>
    <row r="446" spans="1:25" ht="14.25" customHeight="1" x14ac:dyDescent="0.15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</row>
    <row r="447" spans="1:25" ht="14.25" customHeight="1" x14ac:dyDescent="0.15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</row>
    <row r="448" spans="1:25" ht="14.25" customHeight="1" x14ac:dyDescent="0.15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</row>
    <row r="449" spans="1:25" ht="14.25" customHeight="1" x14ac:dyDescent="0.15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</row>
    <row r="450" spans="1:25" ht="14.25" customHeight="1" x14ac:dyDescent="0.15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</row>
    <row r="451" spans="1:25" ht="14.25" customHeight="1" x14ac:dyDescent="0.15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</row>
    <row r="452" spans="1:25" ht="14.25" customHeight="1" x14ac:dyDescent="0.15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</row>
    <row r="453" spans="1:25" ht="14.25" customHeight="1" x14ac:dyDescent="0.15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</row>
    <row r="454" spans="1:25" ht="14.25" customHeight="1" x14ac:dyDescent="0.15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</row>
    <row r="455" spans="1:25" ht="14.25" customHeight="1" x14ac:dyDescent="0.1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</row>
    <row r="456" spans="1:25" ht="14.25" customHeight="1" x14ac:dyDescent="0.15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</row>
    <row r="457" spans="1:25" ht="14.25" customHeight="1" x14ac:dyDescent="0.15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</row>
    <row r="458" spans="1:25" ht="14.25" customHeight="1" x14ac:dyDescent="0.15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</row>
    <row r="459" spans="1:25" ht="14.25" customHeight="1" x14ac:dyDescent="0.15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</row>
    <row r="460" spans="1:25" ht="14.25" customHeight="1" x14ac:dyDescent="0.15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</row>
    <row r="461" spans="1:25" ht="14.25" customHeight="1" x14ac:dyDescent="0.15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</row>
    <row r="462" spans="1:25" ht="14.25" customHeight="1" x14ac:dyDescent="0.15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</row>
    <row r="463" spans="1:25" ht="14.25" customHeight="1" x14ac:dyDescent="0.15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</row>
    <row r="464" spans="1:25" ht="14.25" customHeight="1" x14ac:dyDescent="0.15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</row>
    <row r="465" spans="1:25" ht="14.25" customHeight="1" x14ac:dyDescent="0.1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</row>
    <row r="466" spans="1:25" ht="14.25" customHeight="1" x14ac:dyDescent="0.15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</row>
    <row r="467" spans="1:25" ht="14.25" customHeight="1" x14ac:dyDescent="0.15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</row>
    <row r="468" spans="1:25" ht="14.25" customHeight="1" x14ac:dyDescent="0.15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</row>
    <row r="469" spans="1:25" ht="14.25" customHeight="1" x14ac:dyDescent="0.15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</row>
    <row r="470" spans="1:25" ht="14.25" customHeight="1" x14ac:dyDescent="0.15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</row>
    <row r="471" spans="1:25" ht="14.25" customHeight="1" x14ac:dyDescent="0.15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</row>
    <row r="472" spans="1:25" ht="14.25" customHeight="1" x14ac:dyDescent="0.15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</row>
    <row r="473" spans="1:25" ht="14.25" customHeight="1" x14ac:dyDescent="0.15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</row>
    <row r="474" spans="1:25" ht="14.25" customHeight="1" x14ac:dyDescent="0.15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</row>
    <row r="475" spans="1:25" ht="14.25" customHeight="1" x14ac:dyDescent="0.1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</row>
    <row r="476" spans="1:25" ht="14.25" customHeight="1" x14ac:dyDescent="0.15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</row>
    <row r="477" spans="1:25" ht="14.25" customHeight="1" x14ac:dyDescent="0.15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</row>
    <row r="478" spans="1:25" ht="14.25" customHeight="1" x14ac:dyDescent="0.15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</row>
    <row r="479" spans="1:25" ht="14.25" customHeight="1" x14ac:dyDescent="0.15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</row>
    <row r="480" spans="1:25" ht="14.25" customHeight="1" x14ac:dyDescent="0.15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</row>
    <row r="481" spans="1:25" ht="14.25" customHeight="1" x14ac:dyDescent="0.15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</row>
    <row r="482" spans="1:25" ht="14.25" customHeight="1" x14ac:dyDescent="0.15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</row>
    <row r="483" spans="1:25" ht="14.25" customHeight="1" x14ac:dyDescent="0.15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</row>
    <row r="484" spans="1:25" ht="14.25" customHeight="1" x14ac:dyDescent="0.15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</row>
    <row r="485" spans="1:25" ht="14.25" customHeight="1" x14ac:dyDescent="0.1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</row>
    <row r="486" spans="1:25" ht="14.25" customHeight="1" x14ac:dyDescent="0.15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</row>
    <row r="487" spans="1:25" ht="14.25" customHeight="1" x14ac:dyDescent="0.15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</row>
    <row r="488" spans="1:25" ht="14.25" customHeight="1" x14ac:dyDescent="0.15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</row>
    <row r="489" spans="1:25" ht="14.25" customHeight="1" x14ac:dyDescent="0.15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</row>
    <row r="490" spans="1:25" ht="14.25" customHeight="1" x14ac:dyDescent="0.15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</row>
    <row r="491" spans="1:25" ht="14.25" customHeight="1" x14ac:dyDescent="0.15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</row>
    <row r="492" spans="1:25" ht="14.25" customHeight="1" x14ac:dyDescent="0.15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</row>
    <row r="493" spans="1:25" ht="14.25" customHeight="1" x14ac:dyDescent="0.15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</row>
    <row r="494" spans="1:25" ht="14.25" customHeight="1" x14ac:dyDescent="0.15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</row>
    <row r="495" spans="1:25" ht="14.25" customHeight="1" x14ac:dyDescent="0.1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</row>
    <row r="496" spans="1:25" ht="14.25" customHeight="1" x14ac:dyDescent="0.15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</row>
    <row r="497" spans="1:25" ht="14.25" customHeight="1" x14ac:dyDescent="0.15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</row>
    <row r="498" spans="1:25" ht="14.25" customHeight="1" x14ac:dyDescent="0.15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</row>
    <row r="499" spans="1:25" ht="14.25" customHeight="1" x14ac:dyDescent="0.15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</row>
    <row r="500" spans="1:25" ht="14.25" customHeight="1" x14ac:dyDescent="0.15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</row>
    <row r="501" spans="1:25" ht="14.25" customHeight="1" x14ac:dyDescent="0.15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</row>
    <row r="502" spans="1:25" ht="14.25" customHeight="1" x14ac:dyDescent="0.15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</row>
    <row r="503" spans="1:25" ht="14.25" customHeight="1" x14ac:dyDescent="0.15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</row>
    <row r="504" spans="1:25" ht="14.25" customHeight="1" x14ac:dyDescent="0.15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</row>
    <row r="505" spans="1:25" ht="14.25" customHeight="1" x14ac:dyDescent="0.1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</row>
    <row r="506" spans="1:25" ht="14.25" customHeight="1" x14ac:dyDescent="0.15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</row>
    <row r="507" spans="1:25" ht="14.25" customHeight="1" x14ac:dyDescent="0.15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</row>
    <row r="508" spans="1:25" ht="14.25" customHeight="1" x14ac:dyDescent="0.15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</row>
    <row r="509" spans="1:25" ht="14.25" customHeight="1" x14ac:dyDescent="0.15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</row>
    <row r="510" spans="1:25" ht="14.25" customHeight="1" x14ac:dyDescent="0.15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</row>
    <row r="511" spans="1:25" ht="14.25" customHeight="1" x14ac:dyDescent="0.15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</row>
    <row r="512" spans="1:25" ht="14.25" customHeight="1" x14ac:dyDescent="0.15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</row>
    <row r="513" spans="1:25" ht="14.25" customHeight="1" x14ac:dyDescent="0.15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</row>
    <row r="514" spans="1:25" ht="14.25" customHeight="1" x14ac:dyDescent="0.15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</row>
    <row r="515" spans="1:25" ht="14.25" customHeight="1" x14ac:dyDescent="0.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</row>
    <row r="516" spans="1:25" ht="14.25" customHeight="1" x14ac:dyDescent="0.15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</row>
    <row r="517" spans="1:25" ht="14.25" customHeight="1" x14ac:dyDescent="0.15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</row>
    <row r="518" spans="1:25" ht="14.25" customHeight="1" x14ac:dyDescent="0.15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</row>
    <row r="519" spans="1:25" ht="14.25" customHeight="1" x14ac:dyDescent="0.15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</row>
    <row r="520" spans="1:25" ht="14.25" customHeight="1" x14ac:dyDescent="0.15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</row>
    <row r="521" spans="1:25" ht="14.25" customHeight="1" x14ac:dyDescent="0.15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</row>
    <row r="522" spans="1:25" ht="14.25" customHeight="1" x14ac:dyDescent="0.15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</row>
    <row r="523" spans="1:25" ht="14.25" customHeight="1" x14ac:dyDescent="0.15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</row>
    <row r="524" spans="1:25" ht="14.25" customHeight="1" x14ac:dyDescent="0.15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</row>
    <row r="525" spans="1:25" ht="14.25" customHeight="1" x14ac:dyDescent="0.1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</row>
    <row r="526" spans="1:25" ht="14.25" customHeight="1" x14ac:dyDescent="0.15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</row>
    <row r="527" spans="1:25" ht="14.25" customHeight="1" x14ac:dyDescent="0.15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</row>
    <row r="528" spans="1:25" ht="14.25" customHeight="1" x14ac:dyDescent="0.15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</row>
    <row r="529" spans="1:25" ht="14.25" customHeight="1" x14ac:dyDescent="0.15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</row>
    <row r="530" spans="1:25" ht="14.25" customHeight="1" x14ac:dyDescent="0.15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</row>
    <row r="531" spans="1:25" ht="14.25" customHeight="1" x14ac:dyDescent="0.15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</row>
    <row r="532" spans="1:25" ht="14.25" customHeight="1" x14ac:dyDescent="0.15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</row>
    <row r="533" spans="1:25" ht="14.25" customHeight="1" x14ac:dyDescent="0.15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</row>
    <row r="534" spans="1:25" ht="14.25" customHeight="1" x14ac:dyDescent="0.15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</row>
    <row r="535" spans="1:25" ht="14.25" customHeight="1" x14ac:dyDescent="0.1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</row>
    <row r="536" spans="1:25" ht="14.25" customHeight="1" x14ac:dyDescent="0.15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</row>
    <row r="537" spans="1:25" ht="14.25" customHeight="1" x14ac:dyDescent="0.15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</row>
    <row r="538" spans="1:25" ht="14.25" customHeight="1" x14ac:dyDescent="0.15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</row>
    <row r="539" spans="1:25" ht="14.25" customHeight="1" x14ac:dyDescent="0.15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</row>
    <row r="540" spans="1:25" ht="14.25" customHeight="1" x14ac:dyDescent="0.15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</row>
    <row r="541" spans="1:25" ht="14.25" customHeight="1" x14ac:dyDescent="0.15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</row>
    <row r="542" spans="1:25" ht="14.25" customHeight="1" x14ac:dyDescent="0.15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</row>
    <row r="543" spans="1:25" ht="14.25" customHeight="1" x14ac:dyDescent="0.15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</row>
    <row r="544" spans="1:25" ht="14.25" customHeight="1" x14ac:dyDescent="0.15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</row>
    <row r="545" spans="1:25" ht="14.25" customHeight="1" x14ac:dyDescent="0.1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</row>
    <row r="546" spans="1:25" ht="14.25" customHeight="1" x14ac:dyDescent="0.15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</row>
    <row r="547" spans="1:25" ht="14.25" customHeight="1" x14ac:dyDescent="0.15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</row>
    <row r="548" spans="1:25" ht="14.25" customHeight="1" x14ac:dyDescent="0.15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</row>
    <row r="549" spans="1:25" ht="14.25" customHeight="1" x14ac:dyDescent="0.15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</row>
    <row r="550" spans="1:25" ht="14.25" customHeight="1" x14ac:dyDescent="0.15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</row>
    <row r="551" spans="1:25" ht="14.25" customHeight="1" x14ac:dyDescent="0.15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</row>
    <row r="552" spans="1:25" ht="14.25" customHeight="1" x14ac:dyDescent="0.15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</row>
    <row r="553" spans="1:25" ht="14.25" customHeight="1" x14ac:dyDescent="0.15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</row>
    <row r="554" spans="1:25" ht="14.25" customHeight="1" x14ac:dyDescent="0.15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</row>
    <row r="555" spans="1:25" ht="14.25" customHeight="1" x14ac:dyDescent="0.1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</row>
    <row r="556" spans="1:25" ht="14.25" customHeight="1" x14ac:dyDescent="0.15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</row>
    <row r="557" spans="1:25" ht="14.25" customHeight="1" x14ac:dyDescent="0.15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</row>
    <row r="558" spans="1:25" ht="14.25" customHeight="1" x14ac:dyDescent="0.15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</row>
    <row r="559" spans="1:25" ht="14.25" customHeight="1" x14ac:dyDescent="0.15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</row>
    <row r="560" spans="1:25" ht="14.25" customHeight="1" x14ac:dyDescent="0.15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</row>
    <row r="561" spans="1:25" ht="14.25" customHeight="1" x14ac:dyDescent="0.15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</row>
    <row r="562" spans="1:25" ht="14.25" customHeight="1" x14ac:dyDescent="0.15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</row>
    <row r="563" spans="1:25" ht="14.25" customHeight="1" x14ac:dyDescent="0.15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</row>
    <row r="564" spans="1:25" ht="14.25" customHeight="1" x14ac:dyDescent="0.15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</row>
    <row r="565" spans="1:25" ht="14.25" customHeight="1" x14ac:dyDescent="0.1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</row>
    <row r="566" spans="1:25" ht="14.25" customHeight="1" x14ac:dyDescent="0.15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</row>
    <row r="567" spans="1:25" ht="14.25" customHeight="1" x14ac:dyDescent="0.15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</row>
    <row r="568" spans="1:25" ht="14.25" customHeight="1" x14ac:dyDescent="0.15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</row>
    <row r="569" spans="1:25" ht="14.25" customHeight="1" x14ac:dyDescent="0.15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</row>
    <row r="570" spans="1:25" ht="14.25" customHeight="1" x14ac:dyDescent="0.15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</row>
    <row r="571" spans="1:25" ht="14.25" customHeight="1" x14ac:dyDescent="0.15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</row>
    <row r="572" spans="1:25" ht="14.25" customHeight="1" x14ac:dyDescent="0.15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</row>
    <row r="573" spans="1:25" ht="14.25" customHeight="1" x14ac:dyDescent="0.15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</row>
    <row r="574" spans="1:25" ht="14.25" customHeight="1" x14ac:dyDescent="0.15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</row>
    <row r="575" spans="1:25" ht="14.25" customHeight="1" x14ac:dyDescent="0.1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</row>
    <row r="576" spans="1:25" ht="14.25" customHeight="1" x14ac:dyDescent="0.15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</row>
    <row r="577" spans="1:25" ht="14.25" customHeight="1" x14ac:dyDescent="0.15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</row>
    <row r="578" spans="1:25" ht="14.25" customHeight="1" x14ac:dyDescent="0.15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</row>
    <row r="579" spans="1:25" ht="15.75" customHeight="1" x14ac:dyDescent="0.15"/>
    <row r="580" spans="1:25" ht="15.75" customHeight="1" x14ac:dyDescent="0.15"/>
    <row r="581" spans="1:25" ht="15.75" customHeight="1" x14ac:dyDescent="0.15"/>
    <row r="582" spans="1:25" ht="15.75" customHeight="1" x14ac:dyDescent="0.15"/>
    <row r="583" spans="1:25" ht="15.75" customHeight="1" x14ac:dyDescent="0.15"/>
    <row r="584" spans="1:25" ht="15.75" customHeight="1" x14ac:dyDescent="0.15"/>
    <row r="585" spans="1:25" ht="15.75" customHeight="1" x14ac:dyDescent="0.15"/>
    <row r="586" spans="1:25" ht="15.75" customHeight="1" x14ac:dyDescent="0.15"/>
    <row r="587" spans="1:25" ht="15.75" customHeight="1" x14ac:dyDescent="0.15"/>
    <row r="588" spans="1:25" ht="15.75" customHeight="1" x14ac:dyDescent="0.15"/>
    <row r="589" spans="1:25" ht="15.75" customHeight="1" x14ac:dyDescent="0.15"/>
    <row r="590" spans="1:25" ht="15.75" customHeight="1" x14ac:dyDescent="0.15"/>
    <row r="591" spans="1:25" ht="15.75" customHeight="1" x14ac:dyDescent="0.15"/>
    <row r="592" spans="1:25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DTI worksheet</vt:lpstr>
      <vt:lpstr>工作表1</vt:lpstr>
      <vt:lpstr>Asset Based Lending</vt:lpstr>
      <vt:lpstr>ABL</vt:lpstr>
      <vt:lpstr>Repayment Scheme (Mon)</vt:lpstr>
      <vt:lpstr>Repayment Scheme (Fort)</vt:lpstr>
      <vt:lpstr>Repayment Scheme (Reducing)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pang</dc:creator>
  <dcterms:created xsi:type="dcterms:W3CDTF">2024-05-22T10:39:35Z</dcterms:created>
</cp:coreProperties>
</file>